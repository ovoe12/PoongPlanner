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풍산고등학교\업무\2026 교무부\"/>
    </mc:Choice>
  </mc:AlternateContent>
  <xr:revisionPtr revIDLastSave="0" documentId="13_ncr:1_{5A498334-61E8-420C-83E3-04656D17EAF9}" xr6:coauthVersionLast="36" xr6:coauthVersionMax="36" xr10:uidLastSave="{00000000-0000-0000-0000-000000000000}"/>
  <bookViews>
    <workbookView xWindow="0" yWindow="0" windowWidth="12288" windowHeight="6480" activeTab="1" xr2:uid="{00000000-000D-0000-FFFF-FFFF00000000}"/>
  </bookViews>
  <sheets>
    <sheet name="1학기" sheetId="1" r:id="rId1"/>
    <sheet name="2학기" sheetId="2" r:id="rId2"/>
    <sheet name="Sheet1" sheetId="3" r:id="rId3"/>
    <sheet name="Sheet2" sheetId="4" r:id="rId4"/>
  </sheets>
  <definedNames>
    <definedName name="_xlnm._FilterDatabase" localSheetId="0" hidden="1">'1학기'!$A$1:$AO$105</definedName>
    <definedName name="_xlnm.Print_Area" localSheetId="0">'1학기'!$A$1:$AM$109</definedName>
    <definedName name="_xlnm.Print_Area" localSheetId="1">'2학기'!$A$1:$AM$115</definedName>
  </definedNames>
  <calcPr calcId="191029"/>
</workbook>
</file>

<file path=xl/calcChain.xml><?xml version="1.0" encoding="utf-8"?>
<calcChain xmlns="http://schemas.openxmlformats.org/spreadsheetml/2006/main">
  <c r="N105" i="1" l="1"/>
  <c r="N104" i="1"/>
  <c r="N103" i="1"/>
  <c r="J103" i="1"/>
  <c r="J104" i="1"/>
  <c r="J105" i="1"/>
  <c r="I99" i="1" l="1"/>
  <c r="H99" i="1"/>
  <c r="G99" i="1"/>
  <c r="F99" i="1"/>
  <c r="E99" i="1"/>
  <c r="D99" i="1"/>
  <c r="Z109" i="1" l="1"/>
  <c r="V108" i="1"/>
  <c r="Z108" i="1"/>
  <c r="V109" i="1"/>
  <c r="Z115" i="2"/>
  <c r="Z114" i="2"/>
  <c r="Z113" i="2"/>
  <c r="V115" i="2"/>
  <c r="V114" i="2"/>
  <c r="V113" i="2"/>
  <c r="N115" i="2"/>
  <c r="N114" i="2"/>
  <c r="N113" i="2"/>
  <c r="J115" i="2"/>
  <c r="J113" i="2"/>
  <c r="J114" i="2"/>
  <c r="V107" i="1"/>
  <c r="Z107" i="1"/>
  <c r="R109" i="1" l="1"/>
  <c r="N109" i="1"/>
  <c r="J109" i="1"/>
  <c r="R115" i="2"/>
  <c r="R113" i="2"/>
  <c r="R114" i="2"/>
  <c r="R107" i="1" l="1"/>
  <c r="R108" i="1" l="1"/>
  <c r="N108" i="1"/>
  <c r="N107" i="1"/>
  <c r="J108" i="1"/>
  <c r="J107" i="1"/>
  <c r="D18" i="2"/>
  <c r="Z105" i="1" l="1"/>
  <c r="Z104" i="1"/>
  <c r="Z103" i="1"/>
  <c r="V105" i="1"/>
  <c r="V104" i="1"/>
  <c r="V103" i="1"/>
  <c r="R105" i="1"/>
  <c r="R104" i="1"/>
  <c r="R103" i="1"/>
  <c r="Z108" i="2" l="1"/>
  <c r="Z107" i="2"/>
  <c r="Z106" i="2"/>
  <c r="V108" i="2"/>
  <c r="V107" i="2"/>
  <c r="V106" i="2"/>
  <c r="R108" i="2"/>
  <c r="R107" i="2"/>
  <c r="R106" i="2"/>
  <c r="N108" i="2"/>
  <c r="N107" i="2"/>
  <c r="N106" i="2"/>
  <c r="J108" i="2"/>
  <c r="J107" i="2"/>
  <c r="J106" i="2"/>
  <c r="F82" i="2" l="1"/>
  <c r="I62" i="2"/>
  <c r="H62" i="2"/>
  <c r="G62" i="2"/>
  <c r="J109" i="2" l="1"/>
  <c r="I74" i="2" l="1"/>
  <c r="H74" i="2"/>
  <c r="G74" i="2"/>
  <c r="F74" i="2"/>
  <c r="E74" i="2"/>
  <c r="D74" i="2"/>
  <c r="I14" i="2"/>
  <c r="H14" i="2"/>
  <c r="G14" i="2"/>
  <c r="F14" i="2"/>
  <c r="E14" i="2"/>
  <c r="D14" i="2"/>
  <c r="D7" i="1" l="1"/>
  <c r="E7" i="1"/>
  <c r="V110" i="2" l="1"/>
  <c r="N111" i="2"/>
  <c r="N110" i="2"/>
  <c r="R111" i="2" l="1"/>
  <c r="J111" i="2"/>
  <c r="J110" i="2"/>
  <c r="V109" i="2"/>
  <c r="V111" i="2"/>
  <c r="R109" i="2"/>
  <c r="R110" i="2"/>
  <c r="Z111" i="2"/>
  <c r="Z110" i="2"/>
  <c r="Z109" i="2"/>
  <c r="N109" i="2"/>
  <c r="D95" i="1" l="1"/>
  <c r="I102" i="2" l="1"/>
  <c r="H102" i="2"/>
  <c r="G102" i="2"/>
  <c r="F102" i="2"/>
  <c r="E102" i="2"/>
  <c r="D102" i="2"/>
  <c r="I98" i="2"/>
  <c r="H98" i="2"/>
  <c r="G98" i="2"/>
  <c r="F98" i="2"/>
  <c r="E98" i="2"/>
  <c r="D98" i="2"/>
  <c r="I94" i="2"/>
  <c r="H94" i="2"/>
  <c r="G94" i="2"/>
  <c r="F94" i="2"/>
  <c r="E94" i="2"/>
  <c r="D94" i="2"/>
  <c r="I90" i="2"/>
  <c r="H90" i="2"/>
  <c r="G90" i="2"/>
  <c r="F90" i="2"/>
  <c r="E90" i="2"/>
  <c r="D90" i="2"/>
  <c r="I86" i="2"/>
  <c r="H86" i="2"/>
  <c r="G86" i="2"/>
  <c r="F86" i="2"/>
  <c r="E86" i="2"/>
  <c r="D86" i="2"/>
  <c r="I82" i="2"/>
  <c r="H82" i="2"/>
  <c r="G82" i="2"/>
  <c r="E82" i="2"/>
  <c r="D82" i="2"/>
  <c r="I78" i="2"/>
  <c r="H78" i="2"/>
  <c r="G78" i="2"/>
  <c r="F78" i="2"/>
  <c r="E78" i="2"/>
  <c r="D78" i="2"/>
  <c r="I70" i="2"/>
  <c r="H70" i="2"/>
  <c r="G70" i="2"/>
  <c r="F70" i="2"/>
  <c r="E70" i="2"/>
  <c r="D70" i="2"/>
  <c r="I66" i="2"/>
  <c r="H66" i="2"/>
  <c r="G66" i="2"/>
  <c r="F66" i="2"/>
  <c r="E66" i="2"/>
  <c r="D66" i="2"/>
  <c r="F62" i="2"/>
  <c r="E62" i="2"/>
  <c r="D62" i="2"/>
  <c r="I58" i="2"/>
  <c r="H58" i="2"/>
  <c r="G58" i="2"/>
  <c r="F58" i="2"/>
  <c r="E58" i="2"/>
  <c r="D58" i="2"/>
  <c r="I54" i="2"/>
  <c r="H54" i="2"/>
  <c r="G54" i="2"/>
  <c r="F54" i="2"/>
  <c r="E54" i="2"/>
  <c r="D54" i="2"/>
  <c r="I50" i="2"/>
  <c r="H50" i="2"/>
  <c r="G50" i="2"/>
  <c r="F50" i="2"/>
  <c r="E50" i="2"/>
  <c r="D50" i="2"/>
  <c r="I46" i="2"/>
  <c r="H46" i="2"/>
  <c r="G46" i="2"/>
  <c r="F46" i="2"/>
  <c r="E46" i="2"/>
  <c r="D46" i="2"/>
  <c r="I42" i="2"/>
  <c r="H42" i="2"/>
  <c r="G42" i="2"/>
  <c r="F42" i="2"/>
  <c r="E42" i="2"/>
  <c r="D42" i="2"/>
  <c r="I38" i="2"/>
  <c r="H38" i="2"/>
  <c r="G38" i="2"/>
  <c r="F38" i="2"/>
  <c r="E38" i="2"/>
  <c r="D38" i="2"/>
  <c r="I34" i="2"/>
  <c r="H34" i="2"/>
  <c r="G34" i="2"/>
  <c r="F34" i="2"/>
  <c r="E34" i="2"/>
  <c r="D34" i="2"/>
  <c r="I30" i="2"/>
  <c r="H30" i="2"/>
  <c r="G30" i="2"/>
  <c r="F30" i="2"/>
  <c r="E30" i="2"/>
  <c r="D30" i="2"/>
  <c r="I26" i="2"/>
  <c r="H26" i="2"/>
  <c r="G26" i="2"/>
  <c r="F26" i="2"/>
  <c r="E26" i="2"/>
  <c r="D26" i="2"/>
  <c r="I22" i="2"/>
  <c r="H22" i="2"/>
  <c r="G22" i="2"/>
  <c r="F22" i="2"/>
  <c r="E22" i="2"/>
  <c r="D22" i="2"/>
  <c r="I18" i="2"/>
  <c r="H18" i="2"/>
  <c r="G18" i="2"/>
  <c r="F18" i="2"/>
  <c r="E18" i="2"/>
  <c r="I10" i="2"/>
  <c r="H10" i="2"/>
  <c r="G10" i="2"/>
  <c r="F10" i="2"/>
  <c r="E10" i="2"/>
  <c r="D10" i="2"/>
  <c r="I6" i="2"/>
  <c r="H6" i="2"/>
  <c r="G6" i="2"/>
  <c r="F6" i="2"/>
  <c r="E6" i="2"/>
  <c r="D6" i="2"/>
  <c r="AL105" i="1"/>
  <c r="AK105" i="1"/>
  <c r="AJ105" i="1"/>
  <c r="AI105" i="1"/>
  <c r="AH105" i="1"/>
  <c r="AG105" i="1"/>
  <c r="AF105" i="1"/>
  <c r="AE105" i="1"/>
  <c r="AL104" i="1"/>
  <c r="AK104" i="1"/>
  <c r="AJ104" i="1"/>
  <c r="AI104" i="1"/>
  <c r="AH104" i="1"/>
  <c r="AG104" i="1"/>
  <c r="AF104" i="1"/>
  <c r="AE104" i="1"/>
  <c r="AL103" i="1"/>
  <c r="AK103" i="1"/>
  <c r="AJ103" i="1"/>
  <c r="AI103" i="1"/>
  <c r="AH103" i="1"/>
  <c r="AG103" i="1"/>
  <c r="AF103" i="1"/>
  <c r="AE103" i="1"/>
  <c r="I95" i="1"/>
  <c r="H95" i="1"/>
  <c r="G95" i="1"/>
  <c r="F95" i="1"/>
  <c r="E95" i="1"/>
  <c r="I91" i="1"/>
  <c r="H91" i="1"/>
  <c r="G91" i="1"/>
  <c r="F91" i="1"/>
  <c r="E91" i="1"/>
  <c r="D91" i="1"/>
  <c r="H87" i="1"/>
  <c r="G87" i="1"/>
  <c r="F87" i="1"/>
  <c r="E87" i="1"/>
  <c r="D87" i="1"/>
  <c r="I83" i="1"/>
  <c r="H83" i="1"/>
  <c r="G83" i="1"/>
  <c r="F83" i="1"/>
  <c r="E83" i="1"/>
  <c r="D83" i="1"/>
  <c r="I79" i="1"/>
  <c r="H79" i="1"/>
  <c r="G79" i="1"/>
  <c r="F79" i="1"/>
  <c r="E79" i="1"/>
  <c r="D79" i="1"/>
  <c r="I75" i="1"/>
  <c r="H75" i="1"/>
  <c r="G75" i="1"/>
  <c r="F75" i="1"/>
  <c r="E75" i="1"/>
  <c r="D75" i="1"/>
  <c r="I71" i="1"/>
  <c r="H71" i="1"/>
  <c r="G71" i="1"/>
  <c r="F71" i="1"/>
  <c r="E71" i="1"/>
  <c r="D71" i="1"/>
  <c r="I67" i="1"/>
  <c r="H67" i="1"/>
  <c r="G67" i="1"/>
  <c r="F67" i="1"/>
  <c r="E67" i="1"/>
  <c r="D67" i="1"/>
  <c r="I63" i="1"/>
  <c r="H63" i="1"/>
  <c r="G63" i="1"/>
  <c r="F63" i="1"/>
  <c r="E63" i="1"/>
  <c r="D63" i="1"/>
  <c r="I59" i="1"/>
  <c r="H59" i="1"/>
  <c r="G59" i="1"/>
  <c r="F59" i="1"/>
  <c r="E59" i="1"/>
  <c r="D59" i="1"/>
  <c r="I55" i="1"/>
  <c r="H55" i="1"/>
  <c r="G55" i="1"/>
  <c r="F55" i="1"/>
  <c r="E55" i="1"/>
  <c r="D55" i="1"/>
  <c r="I51" i="1"/>
  <c r="H51" i="1"/>
  <c r="G51" i="1"/>
  <c r="F51" i="1"/>
  <c r="E51" i="1"/>
  <c r="D51" i="1"/>
  <c r="I47" i="1"/>
  <c r="H47" i="1"/>
  <c r="G47" i="1"/>
  <c r="F47" i="1"/>
  <c r="F103" i="1" s="1"/>
  <c r="E47" i="1"/>
  <c r="D47" i="1"/>
  <c r="I43" i="1"/>
  <c r="H43" i="1"/>
  <c r="G43" i="1"/>
  <c r="F43" i="1"/>
  <c r="E43" i="1"/>
  <c r="D43" i="1"/>
  <c r="I39" i="1"/>
  <c r="H39" i="1"/>
  <c r="G39" i="1"/>
  <c r="F39" i="1"/>
  <c r="E39" i="1"/>
  <c r="D39" i="1"/>
  <c r="I35" i="1"/>
  <c r="H35" i="1"/>
  <c r="G35" i="1"/>
  <c r="F35" i="1"/>
  <c r="E35" i="1"/>
  <c r="D35" i="1"/>
  <c r="I31" i="1"/>
  <c r="H31" i="1"/>
  <c r="G31" i="1"/>
  <c r="F31" i="1"/>
  <c r="E31" i="1"/>
  <c r="D31" i="1"/>
  <c r="I27" i="1"/>
  <c r="H27" i="1"/>
  <c r="G27" i="1"/>
  <c r="F27" i="1"/>
  <c r="E27" i="1"/>
  <c r="D27" i="1"/>
  <c r="I23" i="1"/>
  <c r="H23" i="1"/>
  <c r="G23" i="1"/>
  <c r="F23" i="1"/>
  <c r="E23" i="1"/>
  <c r="D23" i="1"/>
  <c r="I19" i="1"/>
  <c r="H19" i="1"/>
  <c r="G19" i="1"/>
  <c r="F19" i="1"/>
  <c r="E19" i="1"/>
  <c r="D19" i="1"/>
  <c r="I15" i="1"/>
  <c r="H15" i="1"/>
  <c r="G15" i="1"/>
  <c r="F15" i="1"/>
  <c r="E15" i="1"/>
  <c r="D15" i="1"/>
  <c r="I11" i="1"/>
  <c r="H11" i="1"/>
  <c r="G11" i="1"/>
  <c r="F11" i="1"/>
  <c r="E11" i="1"/>
  <c r="D11" i="1"/>
  <c r="I7" i="1"/>
  <c r="H7" i="1"/>
  <c r="G7" i="1"/>
  <c r="F7" i="1"/>
  <c r="E103" i="1" l="1"/>
  <c r="D103" i="1"/>
  <c r="F106" i="2"/>
  <c r="H106" i="2"/>
  <c r="G106" i="2"/>
  <c r="I106" i="2"/>
  <c r="E106" i="2"/>
  <c r="D106" i="2"/>
  <c r="I103" i="1"/>
  <c r="H103" i="1"/>
  <c r="G103" i="1"/>
  <c r="G109" i="2" l="1"/>
  <c r="I109" i="2"/>
  <c r="F109" i="2"/>
  <c r="E109" i="2"/>
  <c r="H109" i="2"/>
  <c r="D10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교직원</author>
    <author>user</author>
  </authors>
  <commentList>
    <comment ref="O7" authorId="0" shapeId="0" xr:uid="{5E89D39F-C671-43E6-A851-A646E533C2B4}">
      <text>
        <r>
          <rPr>
            <b/>
            <sz val="9"/>
            <color rgb="FF000000"/>
            <rFont val="돋움"/>
            <family val="3"/>
            <charset val="129"/>
          </rPr>
          <t>첫번째 : 1학년
두번째 : 2학년
세번째 : 3학년</t>
        </r>
      </text>
    </comment>
    <comment ref="W7" authorId="1" shapeId="0" xr:uid="{00000000-0006-0000-0000-000008000000}">
      <text>
        <r>
          <rPr>
            <b/>
            <sz val="9"/>
            <color rgb="FF000000"/>
            <rFont val="돋움"/>
            <family val="3"/>
            <charset val="129"/>
          </rPr>
          <t>첫번째 : 1학년
두번째 : 2학년
세번째 : 3학년</t>
        </r>
      </text>
    </comment>
    <comment ref="O10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첫번째 : 1학년
두번째 : 2학년
세번째 : 3학년</t>
        </r>
      </text>
    </comment>
    <comment ref="S10" authorId="1" shapeId="0" xr:uid="{00000000-0006-0000-0000-000003000000}">
      <text>
        <r>
          <rPr>
            <b/>
            <sz val="9"/>
            <color rgb="FF000000"/>
            <rFont val="돋움"/>
            <family val="3"/>
            <charset val="129"/>
          </rPr>
          <t>첫번째 : 1학년
두번째 : 2학년
세번째 : 3학년</t>
        </r>
      </text>
    </comment>
    <comment ref="K11" authorId="1" shapeId="0" xr:uid="{00000000-0006-0000-0000-000001000000}">
      <text>
        <r>
          <rPr>
            <b/>
            <sz val="9"/>
            <color rgb="FF000000"/>
            <rFont val="돋움"/>
            <family val="3"/>
            <charset val="129"/>
          </rPr>
          <t>첫번째 : 1학년
두번째 : 2학년
세번째 : 3학년</t>
        </r>
      </text>
    </comment>
    <comment ref="S11" authorId="0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첫번째 : 1학년
두번째 : 2학년
세번째 : 3학년</t>
        </r>
      </text>
    </comment>
    <comment ref="K14" authorId="1" shapeId="0" xr:uid="{00000000-0006-0000-0000-000002000000}">
      <text>
        <r>
          <rPr>
            <b/>
            <sz val="9"/>
            <color rgb="FF000000"/>
            <rFont val="돋움"/>
            <family val="3"/>
            <charset val="129"/>
          </rPr>
          <t>첫번째 : 1학년
두번째 : 2학년
세번째 : 3학년</t>
        </r>
      </text>
    </comment>
    <comment ref="S14" authorId="0" shapeId="0" xr:uid="{00000000-0006-0000-0000-000007000000}">
      <text>
        <r>
          <rPr>
            <b/>
            <sz val="9"/>
            <color rgb="FF000000"/>
            <rFont val="돋움"/>
            <family val="3"/>
            <charset val="129"/>
          </rPr>
          <t>첫번째 : 1학년
두번째 : 2학년
세번째 : 3학년</t>
        </r>
      </text>
    </comment>
  </commentList>
</comments>
</file>

<file path=xl/sharedStrings.xml><?xml version="1.0" encoding="utf-8"?>
<sst xmlns="http://schemas.openxmlformats.org/spreadsheetml/2006/main" count="244" uniqueCount="139">
  <si>
    <t>행사 및 요일별 수업시수</t>
  </si>
  <si>
    <t>전국연합학력평가</t>
  </si>
  <si>
    <t>토요
프로
그램</t>
  </si>
  <si>
    <t>수능종사요원연수</t>
  </si>
  <si>
    <t>1학기 계</t>
  </si>
  <si>
    <t>수업일수</t>
  </si>
  <si>
    <t>수업시수</t>
  </si>
  <si>
    <t>대체공휴일</t>
  </si>
  <si>
    <t>창의적체험활동</t>
  </si>
  <si>
    <t>월(6교시)</t>
  </si>
  <si>
    <t>2차지필</t>
  </si>
  <si>
    <t>수(6교시)</t>
  </si>
  <si>
    <t>어린이날</t>
  </si>
  <si>
    <t>11~15</t>
  </si>
  <si>
    <t>별도행사</t>
  </si>
  <si>
    <t>동
아
리</t>
  </si>
  <si>
    <t>2
학
년</t>
  </si>
  <si>
    <t>목(7교시)</t>
  </si>
  <si>
    <t>대수능모의평가</t>
  </si>
  <si>
    <t>학 년 계</t>
  </si>
  <si>
    <t>추석연휴</t>
  </si>
  <si>
    <t>1
학
년</t>
  </si>
  <si>
    <t>(재량휴업)</t>
  </si>
  <si>
    <t>대학수능</t>
  </si>
  <si>
    <t>1학년 수련회</t>
  </si>
  <si>
    <t>체육한마당</t>
  </si>
  <si>
    <t>1차지필</t>
  </si>
  <si>
    <t>비   고</t>
  </si>
  <si>
    <t>2학기 계</t>
  </si>
  <si>
    <t>화(7교시)</t>
  </si>
  <si>
    <t>금(6교시)</t>
  </si>
  <si>
    <t>3
학
년</t>
  </si>
  <si>
    <t>자치</t>
  </si>
  <si>
    <t>졸업식</t>
  </si>
  <si>
    <t xml:space="preserve">   </t>
  </si>
  <si>
    <t>진로</t>
  </si>
  <si>
    <t>개학식</t>
  </si>
  <si>
    <t>비 고</t>
  </si>
  <si>
    <t>성탄절</t>
  </si>
  <si>
    <t>날짜</t>
  </si>
  <si>
    <t>방학식</t>
  </si>
  <si>
    <t>창특</t>
  </si>
  <si>
    <t>프로</t>
  </si>
  <si>
    <t>적응</t>
  </si>
  <si>
    <t>봉
사</t>
  </si>
  <si>
    <t>광복절</t>
  </si>
  <si>
    <t>월</t>
  </si>
  <si>
    <t xml:space="preserve"> </t>
  </si>
  <si>
    <t>시수</t>
  </si>
  <si>
    <t>종업식</t>
  </si>
  <si>
    <t>그램</t>
  </si>
  <si>
    <t>주</t>
  </si>
  <si>
    <t>토요</t>
  </si>
  <si>
    <t xml:space="preserve">  </t>
  </si>
  <si>
    <t>행사</t>
  </si>
  <si>
    <t>입학식</t>
  </si>
  <si>
    <t>자 율</t>
  </si>
  <si>
    <t>추석</t>
  </si>
  <si>
    <t>전국연합학력평가</t>
    <phoneticPr fontId="41" type="noConversion"/>
  </si>
  <si>
    <t>2026학년도 1학기 학사일정</t>
    <phoneticPr fontId="41" type="noConversion"/>
  </si>
  <si>
    <t>9~13</t>
    <phoneticPr fontId="41" type="noConversion"/>
  </si>
  <si>
    <t>16~20</t>
    <phoneticPr fontId="41" type="noConversion"/>
  </si>
  <si>
    <t>23~27</t>
    <phoneticPr fontId="41" type="noConversion"/>
  </si>
  <si>
    <t>30~31</t>
    <phoneticPr fontId="41" type="noConversion"/>
  </si>
  <si>
    <t>1~3</t>
    <phoneticPr fontId="41" type="noConversion"/>
  </si>
  <si>
    <t>6~10</t>
    <phoneticPr fontId="41" type="noConversion"/>
  </si>
  <si>
    <t>13~17</t>
    <phoneticPr fontId="41" type="noConversion"/>
  </si>
  <si>
    <t>28~30</t>
    <phoneticPr fontId="41" type="noConversion"/>
  </si>
  <si>
    <t>20~24</t>
    <phoneticPr fontId="41" type="noConversion"/>
  </si>
  <si>
    <t>27~30</t>
    <phoneticPr fontId="41" type="noConversion"/>
  </si>
  <si>
    <t>2~6</t>
    <phoneticPr fontId="41" type="noConversion"/>
  </si>
  <si>
    <t>5~9</t>
    <phoneticPr fontId="41" type="noConversion"/>
  </si>
  <si>
    <t>4~8</t>
    <phoneticPr fontId="41" type="noConversion"/>
  </si>
  <si>
    <t>11~15</t>
    <phoneticPr fontId="41" type="noConversion"/>
  </si>
  <si>
    <t>18~22</t>
    <phoneticPr fontId="41" type="noConversion"/>
  </si>
  <si>
    <t>25~29</t>
    <phoneticPr fontId="41" type="noConversion"/>
  </si>
  <si>
    <t>1~5</t>
    <phoneticPr fontId="41" type="noConversion"/>
  </si>
  <si>
    <t>8~12</t>
    <phoneticPr fontId="41" type="noConversion"/>
  </si>
  <si>
    <t>15~19</t>
    <phoneticPr fontId="41" type="noConversion"/>
  </si>
  <si>
    <t>22~26</t>
    <phoneticPr fontId="41" type="noConversion"/>
  </si>
  <si>
    <t>29~30</t>
    <phoneticPr fontId="41" type="noConversion"/>
  </si>
  <si>
    <t>2026학년도 2학기 학사일정</t>
    <phoneticPr fontId="41" type="noConversion"/>
  </si>
  <si>
    <t>개학</t>
    <phoneticPr fontId="41" type="noConversion"/>
  </si>
  <si>
    <t>17~21</t>
    <phoneticPr fontId="41" type="noConversion"/>
  </si>
  <si>
    <t>24~28</t>
    <phoneticPr fontId="41" type="noConversion"/>
  </si>
  <si>
    <t>1~4</t>
    <phoneticPr fontId="41" type="noConversion"/>
  </si>
  <si>
    <t>7~11</t>
    <phoneticPr fontId="41" type="noConversion"/>
  </si>
  <si>
    <t>14~18</t>
    <phoneticPr fontId="41" type="noConversion"/>
  </si>
  <si>
    <t>21~25</t>
    <phoneticPr fontId="41" type="noConversion"/>
  </si>
  <si>
    <t>1~2</t>
    <phoneticPr fontId="41" type="noConversion"/>
  </si>
  <si>
    <t>대체공휴일</t>
    <phoneticPr fontId="41" type="noConversion"/>
  </si>
  <si>
    <t>한글날</t>
    <phoneticPr fontId="41" type="noConversion"/>
  </si>
  <si>
    <t>12~16</t>
    <phoneticPr fontId="41" type="noConversion"/>
  </si>
  <si>
    <t>19~23</t>
    <phoneticPr fontId="41" type="noConversion"/>
  </si>
  <si>
    <t>26~30</t>
    <phoneticPr fontId="41" type="noConversion"/>
  </si>
  <si>
    <t>신입생
학교설명회</t>
    <phoneticPr fontId="41" type="noConversion"/>
  </si>
  <si>
    <t>신정</t>
    <phoneticPr fontId="41" type="noConversion"/>
  </si>
  <si>
    <t>지방선거</t>
    <phoneticPr fontId="41" type="noConversion"/>
  </si>
  <si>
    <t>1학년 수련회</t>
    <phoneticPr fontId="41" type="noConversion"/>
  </si>
  <si>
    <t>2학년현장체험학습</t>
    <phoneticPr fontId="41" type="noConversion"/>
  </si>
  <si>
    <t>28~31
1</t>
    <phoneticPr fontId="41" type="noConversion"/>
  </si>
  <si>
    <t>2일 : 3학년 현장체험학습
4일 : 3학년 수능점수표배부</t>
    <phoneticPr fontId="41" type="noConversion"/>
  </si>
  <si>
    <t>월(6교시)</t>
    <phoneticPr fontId="41" type="noConversion"/>
  </si>
  <si>
    <t>1학년</t>
    <phoneticPr fontId="41" type="noConversion"/>
  </si>
  <si>
    <t>2학년</t>
    <phoneticPr fontId="41" type="noConversion"/>
  </si>
  <si>
    <t>3학년</t>
    <phoneticPr fontId="41" type="noConversion"/>
  </si>
  <si>
    <t>재량휴업일</t>
    <phoneticPr fontId="41" type="noConversion"/>
  </si>
  <si>
    <t>요일별 수업주</t>
    <phoneticPr fontId="41" type="noConversion"/>
  </si>
  <si>
    <t>학부모총회</t>
    <phoneticPr fontId="41" type="noConversion"/>
  </si>
  <si>
    <t>진로체험의날</t>
    <phoneticPr fontId="41" type="noConversion"/>
  </si>
  <si>
    <t xml:space="preserve"> </t>
    <phoneticPr fontId="41" type="noConversion"/>
  </si>
  <si>
    <t>동아리발표회/축제</t>
    <phoneticPr fontId="41" type="noConversion"/>
  </si>
  <si>
    <t>27일 : 3학년 현장체험학습</t>
    <phoneticPr fontId="41" type="noConversion"/>
  </si>
  <si>
    <r>
      <t>시간표 변경 운영(시수추가)
1일 :</t>
    </r>
    <r>
      <rPr>
        <b/>
        <sz val="8"/>
        <color rgb="FFFF0000"/>
        <rFont val="함초롬돋움"/>
        <family val="3"/>
        <charset val="129"/>
      </rPr>
      <t xml:space="preserve"> 금</t>
    </r>
    <r>
      <rPr>
        <b/>
        <sz val="8"/>
        <color rgb="FF000000"/>
        <rFont val="함초롬돋움"/>
        <family val="3"/>
        <charset val="129"/>
      </rPr>
      <t>요일 시간표
       (5,6교시 창체 없음)
2일: 화요일 시수 여유있음</t>
    </r>
    <phoneticPr fontId="41" type="noConversion"/>
  </si>
  <si>
    <r>
      <t xml:space="preserve">시간표 변경 운영(시수추가)
29일: </t>
    </r>
    <r>
      <rPr>
        <b/>
        <sz val="8"/>
        <color rgb="FFFF0000"/>
        <rFont val="함초롬돋움"/>
        <family val="3"/>
        <charset val="129"/>
      </rPr>
      <t>목</t>
    </r>
    <r>
      <rPr>
        <b/>
        <sz val="8"/>
        <color rgb="FF000000"/>
        <rFont val="함초롬돋움"/>
        <family val="3"/>
        <charset val="129"/>
      </rPr>
      <t>요일 시간표</t>
    </r>
    <phoneticPr fontId="41" type="noConversion"/>
  </si>
  <si>
    <r>
      <t xml:space="preserve">시간표 변경 운영(시수추가)
22일 : 1-4교시 </t>
    </r>
    <r>
      <rPr>
        <b/>
        <sz val="8"/>
        <color rgb="FFFF0000"/>
        <rFont val="함초롬돋움"/>
        <family val="3"/>
        <charset val="129"/>
      </rPr>
      <t>금</t>
    </r>
    <r>
      <rPr>
        <b/>
        <sz val="8"/>
        <color rgb="FF000000"/>
        <rFont val="함초롬돋움"/>
        <family val="3"/>
        <charset val="129"/>
      </rPr>
      <t>요일 시간표 
         (6,7교시 동아리활동)
시간표 변경 운영
22일 : 5교시(2월3일 수6교시)</t>
    </r>
    <phoneticPr fontId="41" type="noConversion"/>
  </si>
  <si>
    <t>시간표 변경 운영
13일:5교시(11월17일화7교시)
* 6교시 대청소(봉사)</t>
    <phoneticPr fontId="41" type="noConversion"/>
  </si>
  <si>
    <t>시간표 변경 운영
17일:7교시(11월13일금5교시)
                대청소(봉사)</t>
    <phoneticPr fontId="41" type="noConversion"/>
  </si>
  <si>
    <t>지필평가기간 시간표 운영
23일 : 7월 9일 목 5교시
24일 : 7월 9일 목 6교시</t>
    <phoneticPr fontId="41" type="noConversion"/>
  </si>
  <si>
    <t>지필평가기간 시간표 운영
27일: 7월 9일 목 7교시
28일: 7월 10일 금 1교시
29일: 7월 10일 금 2교시</t>
    <phoneticPr fontId="41" type="noConversion"/>
  </si>
  <si>
    <t>지필평가기간 시간표 운영
29일 : 7월 13일 월 5교시
30일 : 7월 13일 월 6교시</t>
    <phoneticPr fontId="41" type="noConversion"/>
  </si>
  <si>
    <t>지필평가기간 시간표 운영
1일 : 7월 14일 월 5교시
2일 : 7월14일 월 6교시
3일 : 7월15일 수 5교시</t>
    <phoneticPr fontId="41" type="noConversion"/>
  </si>
  <si>
    <t>시간표 변경 운영
8일:7교시(7월15일 수6교시)
10일:1-4교시 진로체험(창체)
* 5,6교시(7월10일 금 3,4교시)</t>
    <phoneticPr fontId="41" type="noConversion"/>
  </si>
  <si>
    <r>
      <t xml:space="preserve">시간표 변경 운영(시수추가)
14일 : </t>
    </r>
    <r>
      <rPr>
        <b/>
        <sz val="8"/>
        <color rgb="FFFF0000"/>
        <rFont val="함초롬돋움"/>
        <family val="3"/>
        <charset val="129"/>
      </rPr>
      <t>월</t>
    </r>
    <r>
      <rPr>
        <b/>
        <sz val="8"/>
        <color rgb="FF000000"/>
        <rFont val="함초롬돋움"/>
        <family val="3"/>
        <charset val="129"/>
      </rPr>
      <t xml:space="preserve">요일 시간표
16일 : </t>
    </r>
    <r>
      <rPr>
        <b/>
        <sz val="8"/>
        <color rgb="FFFF0000"/>
        <rFont val="함초롬돋움"/>
        <family val="3"/>
        <charset val="129"/>
      </rPr>
      <t>금</t>
    </r>
    <r>
      <rPr>
        <b/>
        <sz val="8"/>
        <color rgb="FF000000"/>
        <rFont val="함초롬돋움"/>
        <family val="3"/>
        <charset val="129"/>
      </rPr>
      <t>요일 시간표
        (5,6교시 창체없음)</t>
    </r>
    <phoneticPr fontId="41" type="noConversion"/>
  </si>
  <si>
    <t xml:space="preserve">     </t>
    <phoneticPr fontId="41" type="noConversion"/>
  </si>
  <si>
    <t>개학</t>
    <phoneticPr fontId="41" type="noConversion"/>
  </si>
  <si>
    <t>제헌절</t>
    <phoneticPr fontId="41" type="noConversion"/>
  </si>
  <si>
    <r>
      <rPr>
        <b/>
        <sz val="8"/>
        <color rgb="FF0070C0"/>
        <rFont val="함초롬돋움"/>
        <family val="3"/>
        <charset val="129"/>
      </rPr>
      <t xml:space="preserve">*3학년 학부모 상담주간
</t>
    </r>
    <r>
      <rPr>
        <b/>
        <sz val="8"/>
        <color rgb="FF000000"/>
        <rFont val="함초롬돋움"/>
        <family val="3"/>
        <charset val="129"/>
      </rPr>
      <t xml:space="preserve">
시간표 변경 운영
2일: 7교시(10월27일 화6교시)</t>
    </r>
    <phoneticPr fontId="41" type="noConversion"/>
  </si>
  <si>
    <t>*3학년 학부모 상담주간</t>
    <phoneticPr fontId="41" type="noConversion"/>
  </si>
  <si>
    <t>*1,2학년 학부모 상담주간</t>
    <phoneticPr fontId="41" type="noConversion"/>
  </si>
  <si>
    <t>*1,2,3학년 학부모 상담주간</t>
    <phoneticPr fontId="41" type="noConversion"/>
  </si>
  <si>
    <t>노동절</t>
    <phoneticPr fontId="41" type="noConversion"/>
  </si>
  <si>
    <r>
      <t xml:space="preserve">시간표 변경 운영(노동절)
20일 : </t>
    </r>
    <r>
      <rPr>
        <b/>
        <sz val="8"/>
        <color rgb="FFFF0000"/>
        <rFont val="함초롬돋움"/>
        <family val="3"/>
        <charset val="129"/>
      </rPr>
      <t>금</t>
    </r>
    <r>
      <rPr>
        <b/>
        <sz val="8"/>
        <color rgb="FF000000"/>
        <rFont val="함초롬돋움"/>
        <family val="3"/>
        <charset val="129"/>
      </rPr>
      <t>요일 시간표</t>
    </r>
    <phoneticPr fontId="41" type="noConversion"/>
  </si>
  <si>
    <t>1차
지필</t>
    <phoneticPr fontId="41" type="noConversion"/>
  </si>
  <si>
    <t>1
차
지필</t>
    <phoneticPr fontId="41" type="noConversion"/>
  </si>
  <si>
    <t>수업</t>
    <phoneticPr fontId="41" type="noConversion"/>
  </si>
  <si>
    <t>*학부모총회 
 5분 단축수업 운영</t>
    <phoneticPr fontId="41" type="noConversion"/>
  </si>
  <si>
    <t xml:space="preserve">지필평가기간 시간표 운영
13일 : 12월29일 목요일 5교시
14일 : 12월29일 목요일 6교시
15일 :  12월29일 목요일 7교시
16일 : 2월3일 수요일 5교시 </t>
    <phoneticPr fontId="41" type="noConversion"/>
  </si>
  <si>
    <t>지필평가기간 시간표 운영
7일 :10월27일 화 7교시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</si>
</sst>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mm&quot;월&quot;\ dd&quot;일&quot;"/>
    <numFmt numFmtId="177" formatCode="0_);[Red]\(0\)"/>
    <numFmt numFmtId="178" formatCode="m\/d;@"/>
  </numFmts>
  <fonts count="87" x14ac:knownFonts="1">
    <font>
      <sz val="11"/>
      <color rgb="FF000000"/>
      <name val="돋움"/>
    </font>
    <font>
      <b/>
      <sz val="12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FF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2"/>
      <color rgb="FF0000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FF0000"/>
      <name val="돋움"/>
      <family val="3"/>
      <charset val="129"/>
    </font>
    <font>
      <sz val="10"/>
      <color rgb="FF000000"/>
      <name val="돋움"/>
      <family val="3"/>
      <charset val="129"/>
    </font>
    <font>
      <sz val="11"/>
      <color rgb="FFFF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30"/>
      <color rgb="FF000000"/>
      <name val="돋움"/>
      <family val="3"/>
      <charset val="129"/>
    </font>
    <font>
      <sz val="30"/>
      <color rgb="FF000000"/>
      <name val="돋움"/>
      <family val="3"/>
      <charset val="129"/>
    </font>
    <font>
      <sz val="13"/>
      <color rgb="FF000000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7"/>
      <color rgb="FFFF0000"/>
      <name val="맑은 고딕"/>
      <family val="3"/>
      <charset val="129"/>
    </font>
    <font>
      <sz val="8"/>
      <color rgb="FF0000FF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2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8"/>
      <color rgb="FFFF0000"/>
      <name val="돋움"/>
      <family val="3"/>
      <charset val="129"/>
    </font>
    <font>
      <sz val="12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8"/>
      <color rgb="FF000000"/>
      <name val="Franklin Gothic Demi Cond"/>
      <family val="2"/>
    </font>
    <font>
      <b/>
      <sz val="10"/>
      <color rgb="FF000000"/>
      <name val="맑은 고딕"/>
      <family val="3"/>
      <charset val="129"/>
    </font>
    <font>
      <sz val="9"/>
      <color rgb="FF000000"/>
      <name val="돋움"/>
      <family val="3"/>
      <charset val="129"/>
    </font>
    <font>
      <b/>
      <sz val="16"/>
      <color rgb="FF000000"/>
      <name val="Garamond"/>
      <family val="1"/>
    </font>
    <font>
      <b/>
      <sz val="9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2"/>
      <color rgb="FF0070C0"/>
      <name val="돋움"/>
      <family val="3"/>
      <charset val="129"/>
    </font>
    <font>
      <b/>
      <sz val="11"/>
      <color rgb="FF0070C0"/>
      <name val="돋움"/>
      <family val="3"/>
      <charset val="129"/>
    </font>
    <font>
      <b/>
      <sz val="14"/>
      <color rgb="FFFF0000"/>
      <name val="돋움"/>
      <family val="3"/>
      <charset val="129"/>
    </font>
    <font>
      <b/>
      <sz val="8"/>
      <color theme="3" tint="-0.499984740745262"/>
      <name val="맑은 고딕"/>
      <family val="3"/>
      <charset val="129"/>
    </font>
    <font>
      <b/>
      <sz val="10"/>
      <color theme="3" tint="-0.499984740745262"/>
      <name val="맑은 고딕"/>
      <family val="3"/>
      <charset val="129"/>
    </font>
    <font>
      <b/>
      <sz val="9"/>
      <color theme="3" tint="-0.499984740745262"/>
      <name val="맑은 고딕"/>
      <family val="3"/>
      <charset val="129"/>
    </font>
    <font>
      <b/>
      <sz val="12"/>
      <color theme="3" tint="-0.499984740745262"/>
      <name val="맑은 고딕"/>
      <family val="3"/>
      <charset val="129"/>
    </font>
    <font>
      <sz val="12"/>
      <color rgb="FFFF3399"/>
      <name val="맑은 고딕"/>
      <family val="3"/>
      <charset val="129"/>
    </font>
    <font>
      <b/>
      <sz val="12"/>
      <color rgb="FF250975"/>
      <name val="돋움"/>
      <family val="3"/>
      <charset val="129"/>
    </font>
    <font>
      <b/>
      <sz val="14"/>
      <color theme="3" tint="-0.499984740745262"/>
      <name val="돋움"/>
      <family val="3"/>
      <charset val="129"/>
    </font>
    <font>
      <b/>
      <sz val="12"/>
      <color theme="3" tint="-0.499984740745262"/>
      <name val="돋움"/>
      <family val="3"/>
      <charset val="129"/>
    </font>
    <font>
      <sz val="12"/>
      <color theme="3" tint="-0.499984740745262"/>
      <name val="맑은 고딕"/>
      <family val="3"/>
      <charset val="129"/>
    </font>
    <font>
      <sz val="11"/>
      <color rgb="FF000000"/>
      <name val="함초롬바탕"/>
      <family val="1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8" tint="-0.249977111117893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2"/>
      <color rgb="FF000000"/>
      <name val="함초롬돋움"/>
      <family val="3"/>
      <charset val="129"/>
    </font>
    <font>
      <b/>
      <sz val="10"/>
      <color rgb="FFFF0000"/>
      <name val="함초롬돋움"/>
      <family val="3"/>
      <charset val="129"/>
    </font>
    <font>
      <sz val="8"/>
      <color rgb="FF000000"/>
      <name val="함초롬돋움"/>
      <family val="3"/>
      <charset val="129"/>
    </font>
    <font>
      <b/>
      <sz val="8"/>
      <color rgb="FF000000"/>
      <name val="함초롬돋움"/>
      <family val="3"/>
      <charset val="129"/>
    </font>
    <font>
      <sz val="8"/>
      <color rgb="FFFF0000"/>
      <name val="함초롬돋움"/>
      <family val="3"/>
      <charset val="129"/>
    </font>
    <font>
      <b/>
      <sz val="9"/>
      <color theme="3" tint="-0.499984740745262"/>
      <name val="함초롬돋움"/>
      <family val="3"/>
      <charset val="129"/>
    </font>
    <font>
      <b/>
      <sz val="10"/>
      <color theme="3" tint="-0.499984740745262"/>
      <name val="함초롬돋움"/>
      <family val="3"/>
      <charset val="129"/>
    </font>
    <font>
      <b/>
      <sz val="7"/>
      <color rgb="FF000000"/>
      <name val="함초롬돋움"/>
      <family val="3"/>
      <charset val="129"/>
    </font>
    <font>
      <sz val="10"/>
      <color rgb="FF000000"/>
      <name val="함초롬돋움"/>
      <family val="3"/>
      <charset val="129"/>
    </font>
    <font>
      <b/>
      <sz val="12"/>
      <color theme="3" tint="-0.499984740745262"/>
      <name val="함초롬돋움"/>
      <family val="3"/>
      <charset val="129"/>
    </font>
    <font>
      <b/>
      <sz val="8"/>
      <color theme="3" tint="-0.499984740745262"/>
      <name val="함초롬돋움"/>
      <family val="3"/>
      <charset val="129"/>
    </font>
    <font>
      <sz val="12"/>
      <color rgb="FFFF33CC"/>
      <name val="맑은 고딕"/>
      <family val="3"/>
      <charset val="129"/>
    </font>
    <font>
      <sz val="9"/>
      <color rgb="FF000000"/>
      <name val="함초롬돋움"/>
      <family val="3"/>
      <charset val="129"/>
    </font>
    <font>
      <b/>
      <sz val="8"/>
      <color theme="1"/>
      <name val="함초롬돋움"/>
      <family val="3"/>
      <charset val="129"/>
    </font>
    <font>
      <b/>
      <sz val="13"/>
      <color rgb="FF000000"/>
      <name val="함초롬돋움"/>
      <family val="3"/>
      <charset val="129"/>
    </font>
    <font>
      <sz val="14"/>
      <color rgb="FF000000"/>
      <name val="함초롬돋움"/>
      <family val="3"/>
      <charset val="129"/>
    </font>
    <font>
      <sz val="11"/>
      <color rgb="FF000000"/>
      <name val="돋움"/>
      <family val="3"/>
      <charset val="129"/>
    </font>
    <font>
      <b/>
      <sz val="7"/>
      <color theme="3" tint="-0.499984740745262"/>
      <name val="함초롬돋움"/>
      <family val="3"/>
      <charset val="129"/>
    </font>
    <font>
      <b/>
      <sz val="8"/>
      <color rgb="FFFF0000"/>
      <name val="함초롬돋움"/>
      <family val="3"/>
      <charset val="129"/>
    </font>
    <font>
      <sz val="12"/>
      <color theme="5" tint="-0.249977111117893"/>
      <name val="맑은 고딕"/>
      <family val="3"/>
      <charset val="129"/>
    </font>
    <font>
      <b/>
      <sz val="18"/>
      <color rgb="FF000000"/>
      <name val="Franklin Gothic Demi"/>
      <family val="2"/>
    </font>
    <font>
      <sz val="8"/>
      <color rgb="FF0070C0"/>
      <name val="함초롬돋움"/>
      <family val="3"/>
      <charset val="129"/>
    </font>
    <font>
      <b/>
      <sz val="8"/>
      <color rgb="FF0070C0"/>
      <name val="함초롬돋움"/>
      <family val="3"/>
      <charset val="129"/>
    </font>
    <font>
      <b/>
      <sz val="8"/>
      <color theme="3" tint="0.39997558519241921"/>
      <name val="함초롬돋움"/>
      <family val="3"/>
      <charset val="129"/>
    </font>
    <font>
      <sz val="12"/>
      <name val="맑은 고딕"/>
      <family val="3"/>
      <charset val="129"/>
    </font>
    <font>
      <sz val="12"/>
      <color rgb="FF0000FF"/>
      <name val="맑은 고딕"/>
      <family val="3"/>
      <charset val="129"/>
    </font>
    <font>
      <b/>
      <sz val="13"/>
      <color rgb="FF0000FF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DD5CD"/>
        <bgColor indexed="64"/>
      </patternFill>
    </fill>
    <fill>
      <patternFill patternType="solid">
        <fgColor rgb="FFCAAAB5"/>
        <bgColor indexed="64"/>
      </patternFill>
    </fill>
    <fill>
      <patternFill patternType="solid">
        <fgColor rgb="FFF8F8B6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472">
    <border>
      <left/>
      <right/>
      <top/>
      <bottom/>
      <diagonal/>
    </border>
    <border>
      <left style="double">
        <color rgb="FF000000"/>
      </left>
      <right style="hair">
        <color rgb="FF000000"/>
      </right>
      <top style="thin">
        <color rgb="FF000000"/>
      </top>
      <bottom style="medium">
        <color auto="1"/>
      </bottom>
      <diagonal/>
    </border>
    <border>
      <left/>
      <right style="hair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 diagonalUp="1">
      <left style="thin">
        <color rgb="FF000000"/>
      </left>
      <right style="thin">
        <color rgb="FF000000"/>
      </right>
      <top style="hair">
        <color auto="1"/>
      </top>
      <bottom style="thin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auto="1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auto="1"/>
      </bottom>
      <diagonal/>
    </border>
    <border>
      <left style="hair">
        <color rgb="FF000000"/>
      </left>
      <right/>
      <top style="hair">
        <color rgb="FF000000"/>
      </top>
      <bottom style="medium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hair">
        <color rgb="FF000000"/>
      </left>
      <right/>
      <top style="hair">
        <color rgb="FF000000"/>
      </top>
      <bottom style="thin">
        <color auto="1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 style="thin">
        <color auto="1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 diagonalUp="1">
      <left/>
      <right style="thin">
        <color rgb="FF000000"/>
      </right>
      <top style="hair">
        <color auto="1"/>
      </top>
      <bottom style="thin">
        <color auto="1"/>
      </bottom>
      <diagonal style="hair">
        <color auto="1"/>
      </diagonal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rgb="FF000000"/>
      </left>
      <right style="hair">
        <color rgb="FF000000"/>
      </right>
      <top/>
      <bottom style="thin">
        <color auto="1"/>
      </bottom>
      <diagonal/>
    </border>
    <border>
      <left style="hair">
        <color rgb="FF000000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rgb="FF000000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thin">
        <color auto="1"/>
      </left>
      <right style="hair">
        <color rgb="FF000000"/>
      </right>
      <top style="hair">
        <color rgb="FF000000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thin">
        <color auto="1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auto="1"/>
      </top>
      <bottom style="medium">
        <color auto="1"/>
      </bottom>
      <diagonal/>
    </border>
    <border>
      <left style="hair">
        <color rgb="FF000000"/>
      </left>
      <right style="thin">
        <color auto="1"/>
      </right>
      <top style="hair">
        <color auto="1"/>
      </top>
      <bottom style="medium">
        <color auto="1"/>
      </bottom>
      <diagonal/>
    </border>
    <border diagonalUp="1">
      <left/>
      <right style="thin">
        <color rgb="FF000000"/>
      </right>
      <top style="hair">
        <color auto="1"/>
      </top>
      <bottom style="thin">
        <color auto="1"/>
      </bottom>
      <diagonal style="hair">
        <color auto="1"/>
      </diagonal>
    </border>
    <border diagonalUp="1">
      <left style="thin">
        <color rgb="FF000000"/>
      </left>
      <right style="thin">
        <color rgb="FF000000"/>
      </right>
      <top style="hair">
        <color auto="1"/>
      </top>
      <bottom style="thin">
        <color auto="1"/>
      </bottom>
      <diagonal style="hair">
        <color auto="1"/>
      </diagonal>
    </border>
    <border diagonalUp="1">
      <left/>
      <right style="thin">
        <color rgb="FF000000"/>
      </right>
      <top style="hair">
        <color auto="1"/>
      </top>
      <bottom/>
      <diagonal style="hair">
        <color auto="1"/>
      </diagonal>
    </border>
    <border diagonalUp="1">
      <left style="thin">
        <color rgb="FF000000"/>
      </left>
      <right style="thin">
        <color rgb="FF000000"/>
      </right>
      <top style="hair">
        <color auto="1"/>
      </top>
      <bottom/>
      <diagonal style="hair">
        <color auto="1"/>
      </diagonal>
    </border>
    <border diagonalUp="1">
      <left/>
      <right style="thin">
        <color rgb="FF000000"/>
      </right>
      <top style="hair">
        <color auto="1"/>
      </top>
      <bottom style="medium">
        <color auto="1"/>
      </bottom>
      <diagonal style="hair">
        <color auto="1"/>
      </diagonal>
    </border>
    <border diagonalUp="1">
      <left style="thin">
        <color rgb="FF000000"/>
      </left>
      <right style="thin">
        <color rgb="FF000000"/>
      </right>
      <top style="hair">
        <color auto="1"/>
      </top>
      <bottom style="medium">
        <color auto="1"/>
      </bottom>
      <diagonal style="hair">
        <color auto="1"/>
      </diagonal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 diagonalUp="1">
      <left style="thin">
        <color rgb="FF000000"/>
      </left>
      <right/>
      <top style="hair">
        <color auto="1"/>
      </top>
      <bottom/>
      <diagonal style="hair">
        <color auto="1"/>
      </diagonal>
    </border>
    <border diagonalUp="1">
      <left/>
      <right style="thin">
        <color rgb="FF000000"/>
      </right>
      <top style="hair">
        <color auto="1"/>
      </top>
      <bottom style="medium">
        <color rgb="FF000000"/>
      </bottom>
      <diagonal style="hair">
        <color auto="1"/>
      </diagonal>
    </border>
    <border diagonalUp="1">
      <left style="thin">
        <color rgb="FF000000"/>
      </left>
      <right style="thin">
        <color rgb="FF000000"/>
      </right>
      <top style="hair">
        <color auto="1"/>
      </top>
      <bottom style="medium">
        <color rgb="FF000000"/>
      </bottom>
      <diagonal style="hair">
        <color auto="1"/>
      </diagonal>
    </border>
    <border diagonalUp="1">
      <left style="thin">
        <color rgb="FF000000"/>
      </left>
      <right/>
      <top style="hair">
        <color auto="1"/>
      </top>
      <bottom style="medium">
        <color rgb="FF000000"/>
      </bottom>
      <diagonal style="hair">
        <color auto="1"/>
      </diagonal>
    </border>
    <border diagonalUp="1">
      <left style="thin">
        <color rgb="FF000000"/>
      </left>
      <right/>
      <top style="hair">
        <color auto="1"/>
      </top>
      <bottom style="thin">
        <color auto="1"/>
      </bottom>
      <diagonal style="hair">
        <color auto="1"/>
      </diagonal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rgb="FF000000"/>
      </top>
      <bottom style="medium">
        <color auto="1"/>
      </bottom>
      <diagonal/>
    </border>
    <border>
      <left/>
      <right style="hair">
        <color rgb="FF000000"/>
      </right>
      <top style="hair">
        <color rgb="FF000000"/>
      </top>
      <bottom style="medium">
        <color auto="1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thin">
        <color auto="1"/>
      </bottom>
      <diagonal/>
    </border>
    <border>
      <left style="thin">
        <color rgb="FF000000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auto="1"/>
      </top>
      <bottom style="thin">
        <color auto="1"/>
      </bottom>
      <diagonal/>
    </border>
    <border>
      <left style="hair">
        <color rgb="FF000000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rgb="FF000000"/>
      </bottom>
      <diagonal/>
    </border>
    <border diagonalUp="1">
      <left/>
      <right style="thin">
        <color rgb="FF000000"/>
      </right>
      <top style="hair">
        <color auto="1"/>
      </top>
      <bottom style="thin">
        <color rgb="FF000000"/>
      </bottom>
      <diagonal style="hair">
        <color auto="1"/>
      </diagonal>
    </border>
    <border diagonalUp="1"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 style="hair">
        <color auto="1"/>
      </diagonal>
    </border>
    <border diagonalUp="1">
      <left/>
      <right style="thin">
        <color rgb="FF000000"/>
      </right>
      <top style="hair">
        <color auto="1"/>
      </top>
      <bottom style="thin">
        <color auto="1"/>
      </bottom>
      <diagonal style="hair">
        <color auto="1"/>
      </diagonal>
    </border>
    <border diagonalUp="1">
      <left style="thin">
        <color rgb="FF000000"/>
      </left>
      <right style="thin">
        <color rgb="FF000000"/>
      </right>
      <top style="hair">
        <color auto="1"/>
      </top>
      <bottom style="thin">
        <color auto="1"/>
      </bottom>
      <diagonal style="hair">
        <color auto="1"/>
      </diagonal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double">
        <color rgb="FF000000"/>
      </right>
      <top style="thin">
        <color auto="1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 style="thin">
        <color auto="1"/>
      </bottom>
      <diagonal/>
    </border>
    <border>
      <left style="hair">
        <color auto="1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auto="1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 style="hair">
        <color auto="1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auto="1"/>
      </top>
      <bottom style="hair">
        <color rgb="FF000000"/>
      </bottom>
      <diagonal/>
    </border>
    <border>
      <left/>
      <right/>
      <top style="thin">
        <color auto="1"/>
      </top>
      <bottom style="hair">
        <color rgb="FF000000"/>
      </bottom>
      <diagonal/>
    </border>
    <border>
      <left/>
      <right style="thin">
        <color auto="1"/>
      </right>
      <top style="thin">
        <color auto="1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rgb="FF000000"/>
      </bottom>
      <diagonal/>
    </border>
    <border>
      <left style="thin">
        <color auto="1"/>
      </left>
      <right style="hair">
        <color auto="1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hair">
        <color auto="1"/>
      </right>
      <top style="hair">
        <color rgb="FF000000"/>
      </top>
      <bottom style="thin">
        <color auto="1"/>
      </bottom>
      <diagonal/>
    </border>
    <border>
      <left/>
      <right style="hair">
        <color rgb="FF000000"/>
      </right>
      <top style="thin">
        <color auto="1"/>
      </top>
      <bottom style="hair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auto="1"/>
      </right>
      <top/>
      <bottom style="hair">
        <color rgb="FF000000"/>
      </bottom>
      <diagonal/>
    </border>
    <border>
      <left style="thin">
        <color auto="1"/>
      </left>
      <right style="hair">
        <color rgb="FF000000"/>
      </right>
      <top style="thin">
        <color auto="1"/>
      </top>
      <bottom style="hair">
        <color rgb="FF000000"/>
      </bottom>
      <diagonal/>
    </border>
    <border>
      <left style="thin">
        <color auto="1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auto="1"/>
      </right>
      <top/>
      <bottom style="hair">
        <color rgb="FF000000"/>
      </bottom>
      <diagonal/>
    </border>
    <border>
      <left/>
      <right style="hair">
        <color auto="1"/>
      </right>
      <top style="hair">
        <color rgb="FF000000"/>
      </top>
      <bottom style="hair">
        <color rgb="FF000000"/>
      </bottom>
      <diagonal/>
    </border>
    <border>
      <left/>
      <right style="hair">
        <color auto="1"/>
      </right>
      <top style="hair">
        <color rgb="FF000000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rgb="FF000000"/>
      </top>
      <bottom/>
      <diagonal/>
    </border>
    <border>
      <left style="medium">
        <color auto="1"/>
      </left>
      <right style="thin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hair">
        <color rgb="FF000000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rgb="FF000000"/>
      </left>
      <right style="hair">
        <color rgb="FF000000"/>
      </right>
      <top/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auto="1"/>
      </left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/>
      <top style="hair">
        <color rgb="FF000000"/>
      </top>
      <bottom style="hair">
        <color rgb="FF000000"/>
      </bottom>
      <diagonal/>
    </border>
    <border>
      <left style="thin">
        <color auto="1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auto="1"/>
      </left>
      <right style="hair">
        <color auto="1"/>
      </right>
      <top style="hair">
        <color rgb="FF000000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double">
        <color rgb="FF000000"/>
      </right>
      <top style="double">
        <color auto="1"/>
      </top>
      <bottom/>
      <diagonal/>
    </border>
    <border>
      <left style="thin">
        <color auto="1"/>
      </left>
      <right style="double">
        <color rgb="FF000000"/>
      </right>
      <top/>
      <bottom/>
      <diagonal/>
    </border>
    <border>
      <left style="thin">
        <color auto="1"/>
      </left>
      <right style="double">
        <color rgb="FF000000"/>
      </right>
      <top/>
      <bottom style="medium">
        <color auto="1"/>
      </bottom>
      <diagonal/>
    </border>
    <border>
      <left style="double">
        <color rgb="FF000000"/>
      </left>
      <right/>
      <top style="double">
        <color auto="1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rgb="FF000000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hair">
        <color rgb="FF000000"/>
      </right>
      <top/>
      <bottom style="hair">
        <color rgb="FF000000"/>
      </bottom>
      <diagonal/>
    </border>
    <border>
      <left style="double">
        <color auto="1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auto="1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thin">
        <color auto="1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/>
      <right style="double">
        <color rgb="FF000000"/>
      </right>
      <top style="thin">
        <color auto="1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rgb="FF000000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thin">
        <color auto="1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thin">
        <color auto="1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thin">
        <color auto="1"/>
      </top>
      <bottom style="hair">
        <color rgb="FF000000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rgb="FF000000"/>
      </right>
      <top style="thin">
        <color auto="1"/>
      </top>
      <bottom style="hair">
        <color rgb="FF000000"/>
      </bottom>
      <diagonal/>
    </border>
    <border>
      <left style="double">
        <color auto="1"/>
      </left>
      <right style="hair">
        <color rgb="FF000000"/>
      </right>
      <top style="hair">
        <color rgb="FF000000"/>
      </top>
      <bottom style="medium">
        <color auto="1"/>
      </bottom>
      <diagonal/>
    </border>
    <border>
      <left/>
      <right style="hair">
        <color auto="1"/>
      </right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double">
        <color rgb="FF000000"/>
      </right>
      <top/>
      <bottom style="medium">
        <color auto="1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hair">
        <color auto="1"/>
      </right>
      <top style="hair">
        <color rgb="FF000000"/>
      </top>
      <bottom/>
      <diagonal/>
    </border>
    <border>
      <left style="hair">
        <color auto="1"/>
      </left>
      <right/>
      <top style="thin">
        <color auto="1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auto="1"/>
      </right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>
      <left/>
      <right style="hair">
        <color auto="1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/>
      <top style="thin">
        <color rgb="FF000000"/>
      </top>
      <bottom style="hair">
        <color rgb="FF000000"/>
      </bottom>
      <diagonal/>
    </border>
    <border>
      <left style="thin">
        <color auto="1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hair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double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rgb="FF000000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hair">
        <color auto="1"/>
      </left>
      <right/>
      <top style="hair">
        <color rgb="FF000000"/>
      </top>
      <bottom style="hair">
        <color rgb="FF00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rgb="FF000000"/>
      </left>
      <right style="hair">
        <color rgb="FF000000"/>
      </right>
      <top style="thin">
        <color auto="1"/>
      </top>
      <bottom/>
      <diagonal/>
    </border>
    <border>
      <left style="hair">
        <color rgb="FF000000"/>
      </left>
      <right/>
      <top style="thin">
        <color auto="1"/>
      </top>
      <bottom/>
      <diagonal/>
    </border>
    <border>
      <left style="hair">
        <color rgb="FF000000"/>
      </left>
      <right style="thin">
        <color auto="1"/>
      </right>
      <top style="thin">
        <color auto="1"/>
      </top>
      <bottom/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rgb="FF000000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/>
      <top style="thin">
        <color auto="1"/>
      </top>
      <bottom style="hair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medium">
        <color auto="1"/>
      </top>
      <bottom/>
      <diagonal/>
    </border>
    <border>
      <left style="double">
        <color rgb="FF000000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double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medium">
        <color auto="1"/>
      </right>
      <top style="thin">
        <color rgb="FF000000"/>
      </top>
      <bottom/>
      <diagonal/>
    </border>
    <border>
      <left style="hair">
        <color auto="1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/>
      <bottom/>
      <diagonal/>
    </border>
    <border>
      <left style="thin">
        <color rgb="FF000000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rgb="FF000000"/>
      </left>
      <right/>
      <top style="hair">
        <color auto="1"/>
      </top>
      <bottom style="hair">
        <color rgb="FF000000"/>
      </bottom>
      <diagonal/>
    </border>
    <border>
      <left/>
      <right/>
      <top style="hair">
        <color auto="1"/>
      </top>
      <bottom style="hair">
        <color rgb="FF000000"/>
      </bottom>
      <diagonal/>
    </border>
    <border>
      <left/>
      <right style="thin">
        <color auto="1"/>
      </right>
      <top style="hair">
        <color auto="1"/>
      </top>
      <bottom style="hair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rgb="FF000000"/>
      </bottom>
      <diagonal/>
    </border>
    <border>
      <left style="thin">
        <color auto="1"/>
      </left>
      <right style="hair">
        <color auto="1"/>
      </right>
      <top style="hair">
        <color rgb="FF000000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rgb="FF000000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double">
        <color rgb="FF000000"/>
      </left>
      <right style="hair">
        <color auto="1"/>
      </right>
      <top style="thin">
        <color auto="1"/>
      </top>
      <bottom/>
      <diagonal/>
    </border>
    <border>
      <left style="double">
        <color rgb="FF000000"/>
      </left>
      <right style="hair">
        <color auto="1"/>
      </right>
      <top/>
      <bottom/>
      <diagonal/>
    </border>
    <border>
      <left style="thin">
        <color auto="1"/>
      </left>
      <right style="double">
        <color rgb="FF000000"/>
      </right>
      <top/>
      <bottom style="thin">
        <color auto="1"/>
      </bottom>
      <diagonal/>
    </border>
    <border>
      <left style="double">
        <color rgb="FF000000"/>
      </left>
      <right/>
      <top style="thin">
        <color auto="1"/>
      </top>
      <bottom/>
      <diagonal/>
    </border>
    <border>
      <left style="double">
        <color rgb="FF000000"/>
      </left>
      <right/>
      <top/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double">
        <color auto="1"/>
      </left>
      <right/>
      <top style="thin">
        <color rgb="FF000000"/>
      </top>
      <bottom style="thin">
        <color rgb="FF000000"/>
      </bottom>
      <diagonal/>
    </border>
    <border>
      <left style="double">
        <color auto="1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rgb="FF000000"/>
      </top>
      <bottom/>
      <diagonal/>
    </border>
    <border>
      <left style="thin">
        <color auto="1"/>
      </left>
      <right style="double">
        <color auto="1"/>
      </right>
      <top/>
      <bottom style="thin">
        <color rgb="FF000000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hair">
        <color rgb="FF000000"/>
      </top>
      <bottom style="medium">
        <color auto="1"/>
      </bottom>
      <diagonal/>
    </border>
    <border>
      <left/>
      <right/>
      <top style="hair">
        <color rgb="FF000000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rgb="FF000000"/>
      </top>
      <bottom style="thin">
        <color rgb="FF000000"/>
      </bottom>
      <diagonal/>
    </border>
    <border>
      <left/>
      <right style="double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hair">
        <color auto="1"/>
      </right>
      <top style="hair">
        <color auto="1"/>
      </top>
      <bottom style="thin">
        <color rgb="FF000000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double">
        <color rgb="FF000000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double">
        <color rgb="FF000000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rgb="FF000000"/>
      </top>
      <bottom/>
      <diagonal/>
    </border>
    <border>
      <left style="thin">
        <color auto="1"/>
      </left>
      <right style="hair">
        <color auto="1"/>
      </right>
      <top/>
      <bottom style="thin">
        <color rgb="FF000000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thin">
        <color rgb="FF000000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thin">
        <color rgb="FF000000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medium">
        <color indexed="64"/>
      </top>
      <bottom/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hair">
        <color rgb="FF000000"/>
      </left>
      <right style="thin">
        <color auto="1"/>
      </right>
      <top/>
      <bottom style="hair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rgb="FF000000"/>
      </left>
      <right/>
      <top style="medium">
        <color auto="1"/>
      </top>
      <bottom style="hair">
        <color rgb="FF000000"/>
      </bottom>
      <diagonal/>
    </border>
    <border>
      <left/>
      <right/>
      <top style="medium">
        <color auto="1"/>
      </top>
      <bottom style="hair">
        <color rgb="FF000000"/>
      </bottom>
      <diagonal/>
    </border>
    <border>
      <left/>
      <right style="thin">
        <color auto="1"/>
      </right>
      <top style="medium">
        <color auto="1"/>
      </top>
      <bottom style="hair">
        <color rgb="FF000000"/>
      </bottom>
      <diagonal/>
    </border>
    <border>
      <left style="double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indexed="64"/>
      </top>
      <bottom style="thin">
        <color auto="1"/>
      </bottom>
      <diagonal/>
    </border>
    <border>
      <left style="double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thin">
        <color auto="1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hair">
        <color auto="1"/>
      </left>
      <right/>
      <top style="medium">
        <color rgb="FF000000"/>
      </top>
      <bottom style="hair">
        <color rgb="FF000000"/>
      </bottom>
      <diagonal/>
    </border>
    <border>
      <left style="double">
        <color auto="1"/>
      </left>
      <right/>
      <top style="medium">
        <color auto="1"/>
      </top>
      <bottom style="hair">
        <color rgb="FF000000"/>
      </bottom>
      <diagonal/>
    </border>
    <border>
      <left/>
      <right style="hair">
        <color auto="1"/>
      </right>
      <top style="medium">
        <color auto="1"/>
      </top>
      <bottom style="hair">
        <color rgb="FF000000"/>
      </bottom>
      <diagonal/>
    </border>
    <border>
      <left/>
      <right style="hair">
        <color rgb="FF000000"/>
      </right>
      <top style="medium">
        <color auto="1"/>
      </top>
      <bottom style="hair">
        <color rgb="FF000000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 style="hair">
        <color rgb="FF000000"/>
      </bottom>
      <diagonal/>
    </border>
    <border>
      <left style="thin">
        <color auto="1"/>
      </left>
      <right/>
      <top style="medium">
        <color auto="1"/>
      </top>
      <bottom style="hair">
        <color rgb="FF000000"/>
      </bottom>
      <diagonal/>
    </border>
    <border>
      <left style="double">
        <color auto="1"/>
      </left>
      <right/>
      <top style="hair">
        <color rgb="FF000000"/>
      </top>
      <bottom style="hair">
        <color rgb="FF000000"/>
      </bottom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 style="medium">
        <color auto="1"/>
      </bottom>
      <diagonal/>
    </border>
    <border>
      <left style="double">
        <color auto="1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double">
        <color rgb="FF000000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rgb="FF000000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double">
        <color rgb="FF000000"/>
      </left>
      <right/>
      <top/>
      <bottom style="hair">
        <color rgb="FF000000"/>
      </bottom>
      <diagonal/>
    </border>
    <border>
      <left style="thin">
        <color auto="1"/>
      </left>
      <right/>
      <top/>
      <bottom style="hair">
        <color rgb="FF000000"/>
      </bottom>
      <diagonal/>
    </border>
    <border>
      <left style="thin">
        <color auto="1"/>
      </left>
      <right style="hair">
        <color rgb="FF000000"/>
      </right>
      <top/>
      <bottom style="thin">
        <color auto="1"/>
      </bottom>
      <diagonal/>
    </border>
    <border>
      <left style="hair">
        <color rgb="FF000000"/>
      </left>
      <right style="hair">
        <color auto="1"/>
      </right>
      <top/>
      <bottom/>
      <diagonal/>
    </border>
    <border>
      <left style="thin">
        <color rgb="FF000000"/>
      </left>
      <right/>
      <top/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hair">
        <color rgb="FF000000"/>
      </right>
      <top style="thin">
        <color rgb="FF000000"/>
      </top>
      <bottom style="medium">
        <color indexed="64"/>
      </bottom>
      <diagonal/>
    </border>
    <border>
      <left style="hair">
        <color rgb="FF000000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/>
      <right style="hair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double">
        <color auto="1"/>
      </bottom>
      <diagonal/>
    </border>
    <border>
      <left/>
      <right style="double">
        <color indexed="64"/>
      </right>
      <top style="medium">
        <color auto="1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auto="1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double">
        <color auto="1"/>
      </left>
      <right/>
      <top/>
      <bottom style="thin">
        <color rgb="FF000000"/>
      </bottom>
      <diagonal/>
    </border>
    <border>
      <left/>
      <right style="double">
        <color auto="1"/>
      </right>
      <top/>
      <bottom style="thin">
        <color rgb="FF000000"/>
      </bottom>
      <diagonal/>
    </border>
    <border>
      <left/>
      <right style="medium">
        <color auto="1"/>
      </right>
      <top/>
      <bottom style="hair">
        <color rgb="FF000000"/>
      </bottom>
      <diagonal/>
    </border>
    <border>
      <left style="thin">
        <color rgb="FF000000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double">
        <color auto="1"/>
      </left>
      <right/>
      <top style="medium">
        <color indexed="64"/>
      </top>
      <bottom style="thin">
        <color auto="1"/>
      </bottom>
      <diagonal/>
    </border>
    <border>
      <left/>
      <right style="double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double">
        <color auto="1"/>
      </left>
      <right/>
      <top style="thin">
        <color auto="1"/>
      </top>
      <bottom style="medium">
        <color indexed="64"/>
      </bottom>
      <diagonal/>
    </border>
    <border>
      <left/>
      <right style="double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077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3" fillId="0" borderId="6" xfId="0" applyNumberFormat="1" applyFont="1" applyBorder="1" applyAlignment="1">
      <alignment horizontal="center" vertical="center" shrinkToFit="1"/>
    </xf>
    <xf numFmtId="0" fontId="3" fillId="0" borderId="7" xfId="0" applyNumberFormat="1" applyFont="1" applyBorder="1" applyAlignment="1">
      <alignment horizontal="center" vertical="center" shrinkToFit="1"/>
    </xf>
    <xf numFmtId="0" fontId="3" fillId="0" borderId="8" xfId="0" applyNumberFormat="1" applyFont="1" applyBorder="1" applyAlignment="1">
      <alignment horizontal="center" vertical="center" shrinkToFit="1"/>
    </xf>
    <xf numFmtId="0" fontId="3" fillId="0" borderId="9" xfId="0" applyNumberFormat="1" applyFont="1" applyBorder="1" applyAlignment="1">
      <alignment horizontal="center" vertical="center" shrinkToFit="1"/>
    </xf>
    <xf numFmtId="0" fontId="3" fillId="0" borderId="10" xfId="0" applyNumberFormat="1" applyFont="1" applyBorder="1" applyAlignment="1">
      <alignment horizontal="center" vertical="center" shrinkToFit="1"/>
    </xf>
    <xf numFmtId="0" fontId="3" fillId="0" borderId="11" xfId="0" applyNumberFormat="1" applyFont="1" applyBorder="1" applyAlignment="1">
      <alignment horizontal="center" vertical="center" shrinkToFit="1"/>
    </xf>
    <xf numFmtId="0" fontId="3" fillId="2" borderId="12" xfId="0" applyNumberFormat="1" applyFont="1" applyFill="1" applyBorder="1" applyAlignment="1">
      <alignment horizontal="center" vertical="center" shrinkToFit="1"/>
    </xf>
    <xf numFmtId="0" fontId="3" fillId="0" borderId="13" xfId="0" applyNumberFormat="1" applyFont="1" applyBorder="1" applyAlignment="1">
      <alignment horizontal="center" vertical="center" shrinkToFit="1"/>
    </xf>
    <xf numFmtId="0" fontId="3" fillId="0" borderId="14" xfId="0" applyNumberFormat="1" applyFont="1" applyBorder="1" applyAlignment="1">
      <alignment horizontal="center" vertical="center" shrinkToFit="1"/>
    </xf>
    <xf numFmtId="0" fontId="3" fillId="0" borderId="15" xfId="0" applyNumberFormat="1" applyFont="1" applyBorder="1" applyAlignment="1">
      <alignment horizontal="center" vertical="center" shrinkToFit="1"/>
    </xf>
    <xf numFmtId="0" fontId="3" fillId="0" borderId="13" xfId="0" applyNumberFormat="1" applyFont="1" applyFill="1" applyBorder="1" applyAlignment="1">
      <alignment horizontal="center" vertical="center" shrinkToFit="1"/>
    </xf>
    <xf numFmtId="0" fontId="3" fillId="0" borderId="15" xfId="0" applyNumberFormat="1" applyFont="1" applyFill="1" applyBorder="1" applyAlignment="1">
      <alignment horizontal="center" vertical="center" shrinkToFit="1"/>
    </xf>
    <xf numFmtId="0" fontId="0" fillId="0" borderId="0" xfId="0" applyNumberFormat="1" applyFont="1">
      <alignment vertical="center"/>
    </xf>
    <xf numFmtId="0" fontId="3" fillId="0" borderId="18" xfId="0" applyNumberFormat="1" applyFont="1" applyFill="1" applyBorder="1" applyAlignment="1">
      <alignment horizontal="center" vertical="center" wrapText="1"/>
    </xf>
    <xf numFmtId="0" fontId="3" fillId="0" borderId="18" xfId="0" applyNumberFormat="1" applyFont="1" applyBorder="1" applyAlignment="1">
      <alignment horizontal="center" vertical="center" wrapText="1"/>
    </xf>
    <xf numFmtId="0" fontId="3" fillId="0" borderId="20" xfId="0" applyNumberFormat="1" applyFont="1" applyBorder="1" applyAlignment="1">
      <alignment horizontal="center" vertical="center" wrapText="1"/>
    </xf>
    <xf numFmtId="0" fontId="3" fillId="0" borderId="19" xfId="0" applyNumberFormat="1" applyFont="1" applyBorder="1" applyAlignment="1">
      <alignment horizontal="center" vertical="center" wrapText="1"/>
    </xf>
    <xf numFmtId="0" fontId="3" fillId="0" borderId="21" xfId="0" applyNumberFormat="1" applyFont="1" applyBorder="1" applyAlignment="1">
      <alignment horizontal="center" vertical="center" wrapText="1"/>
    </xf>
    <xf numFmtId="0" fontId="3" fillId="0" borderId="22" xfId="0" applyNumberFormat="1" applyFont="1" applyBorder="1" applyAlignment="1">
      <alignment horizontal="center" vertical="center" wrapText="1"/>
    </xf>
    <xf numFmtId="0" fontId="3" fillId="0" borderId="23" xfId="0" applyNumberFormat="1" applyFont="1" applyBorder="1" applyAlignment="1">
      <alignment horizontal="center" vertical="center" wrapText="1"/>
    </xf>
    <xf numFmtId="0" fontId="3" fillId="0" borderId="24" xfId="0" applyNumberFormat="1" applyFont="1" applyBorder="1" applyAlignment="1">
      <alignment horizontal="center" vertical="center" wrapText="1"/>
    </xf>
    <xf numFmtId="0" fontId="3" fillId="0" borderId="25" xfId="0" applyNumberFormat="1" applyFont="1" applyBorder="1" applyAlignment="1">
      <alignment horizontal="center" vertical="center" wrapText="1"/>
    </xf>
    <xf numFmtId="0" fontId="3" fillId="0" borderId="21" xfId="0" applyNumberFormat="1" applyFont="1" applyFill="1" applyBorder="1" applyAlignment="1">
      <alignment horizontal="center" vertical="center" wrapText="1"/>
    </xf>
    <xf numFmtId="0" fontId="3" fillId="0" borderId="23" xfId="0" applyNumberFormat="1" applyFont="1" applyFill="1" applyBorder="1" applyAlignment="1">
      <alignment horizontal="center" vertical="center" wrapText="1"/>
    </xf>
    <xf numFmtId="0" fontId="3" fillId="0" borderId="25" xfId="0" applyNumberFormat="1" applyFont="1" applyFill="1" applyBorder="1" applyAlignment="1">
      <alignment horizontal="center" vertical="center" wrapText="1"/>
    </xf>
    <xf numFmtId="0" fontId="3" fillId="3" borderId="23" xfId="0" applyNumberFormat="1" applyFont="1" applyFill="1" applyBorder="1" applyAlignment="1">
      <alignment horizontal="center" vertical="center" wrapText="1"/>
    </xf>
    <xf numFmtId="0" fontId="3" fillId="3" borderId="25" xfId="0" applyNumberFormat="1" applyFont="1" applyFill="1" applyBorder="1" applyAlignment="1">
      <alignment horizontal="center" vertical="center" wrapText="1"/>
    </xf>
    <xf numFmtId="0" fontId="3" fillId="3" borderId="18" xfId="0" applyNumberFormat="1" applyFont="1" applyFill="1" applyBorder="1" applyAlignment="1">
      <alignment horizontal="center" vertical="center" wrapText="1"/>
    </xf>
    <xf numFmtId="0" fontId="3" fillId="3" borderId="20" xfId="0" applyNumberFormat="1" applyFont="1" applyFill="1" applyBorder="1" applyAlignment="1">
      <alignment horizontal="center" vertical="center" wrapText="1"/>
    </xf>
    <xf numFmtId="0" fontId="3" fillId="0" borderId="26" xfId="0" applyNumberFormat="1" applyFont="1" applyFill="1" applyBorder="1" applyAlignment="1">
      <alignment horizontal="center" vertical="center" wrapText="1"/>
    </xf>
    <xf numFmtId="0" fontId="3" fillId="3" borderId="13" xfId="0" applyNumberFormat="1" applyFont="1" applyFill="1" applyBorder="1" applyAlignment="1">
      <alignment horizontal="center" vertical="center" shrinkToFit="1"/>
    </xf>
    <xf numFmtId="0" fontId="3" fillId="3" borderId="15" xfId="0" applyNumberFormat="1" applyFont="1" applyFill="1" applyBorder="1" applyAlignment="1">
      <alignment horizontal="center" vertical="center" shrinkToFit="1"/>
    </xf>
    <xf numFmtId="0" fontId="3" fillId="3" borderId="13" xfId="0" applyNumberFormat="1" applyFont="1" applyFill="1" applyBorder="1" applyAlignment="1">
      <alignment horizontal="center" vertical="center" wrapText="1"/>
    </xf>
    <xf numFmtId="0" fontId="3" fillId="3" borderId="15" xfId="0" applyNumberFormat="1" applyFont="1" applyFill="1" applyBorder="1" applyAlignment="1">
      <alignment horizontal="center" vertical="center" wrapText="1"/>
    </xf>
    <xf numFmtId="0" fontId="3" fillId="3" borderId="21" xfId="0" applyNumberFormat="1" applyFont="1" applyFill="1" applyBorder="1" applyAlignment="1">
      <alignment horizontal="center" vertical="center" wrapText="1"/>
    </xf>
    <xf numFmtId="0" fontId="0" fillId="3" borderId="0" xfId="0" applyNumberFormat="1" applyFont="1" applyFill="1">
      <alignment vertical="center"/>
    </xf>
    <xf numFmtId="0" fontId="3" fillId="0" borderId="34" xfId="0" applyNumberFormat="1" applyFont="1" applyBorder="1" applyAlignment="1">
      <alignment horizontal="center" vertical="center" shrinkToFit="1"/>
    </xf>
    <xf numFmtId="0" fontId="3" fillId="0" borderId="35" xfId="0" applyNumberFormat="1" applyFont="1" applyBorder="1" applyAlignment="1">
      <alignment horizontal="center" vertical="center" shrinkToFit="1"/>
    </xf>
    <xf numFmtId="0" fontId="3" fillId="2" borderId="36" xfId="0" applyNumberFormat="1" applyFont="1" applyFill="1" applyBorder="1" applyAlignment="1">
      <alignment horizontal="center" vertical="center" shrinkToFit="1"/>
    </xf>
    <xf numFmtId="0" fontId="3" fillId="0" borderId="37" xfId="0" applyNumberFormat="1" applyFont="1" applyBorder="1" applyAlignment="1">
      <alignment horizontal="center" vertical="center" shrinkToFit="1"/>
    </xf>
    <xf numFmtId="0" fontId="5" fillId="3" borderId="46" xfId="0" applyNumberFormat="1" applyFont="1" applyFill="1" applyBorder="1" applyAlignment="1">
      <alignment horizontal="center" vertical="center" shrinkToFit="1"/>
    </xf>
    <xf numFmtId="0" fontId="5" fillId="3" borderId="31" xfId="0" applyNumberFormat="1" applyFont="1" applyFill="1" applyBorder="1" applyAlignment="1">
      <alignment horizontal="center" vertical="center" shrinkToFit="1"/>
    </xf>
    <xf numFmtId="0" fontId="5" fillId="3" borderId="47" xfId="0" applyNumberFormat="1" applyFont="1" applyFill="1" applyBorder="1" applyAlignment="1">
      <alignment horizontal="center" vertical="center" shrinkToFit="1"/>
    </xf>
    <xf numFmtId="0" fontId="5" fillId="3" borderId="27" xfId="0" applyNumberFormat="1" applyFont="1" applyFill="1" applyBorder="1" applyAlignment="1">
      <alignment horizontal="center" vertical="center" shrinkToFit="1"/>
    </xf>
    <xf numFmtId="0" fontId="5" fillId="3" borderId="48" xfId="0" applyNumberFormat="1" applyFont="1" applyFill="1" applyBorder="1" applyAlignment="1">
      <alignment horizontal="center" vertical="center" shrinkToFit="1"/>
    </xf>
    <xf numFmtId="0" fontId="5" fillId="3" borderId="32" xfId="0" applyNumberFormat="1" applyFont="1" applyFill="1" applyBorder="1" applyAlignment="1">
      <alignment horizontal="center" vertical="center" shrinkToFit="1"/>
    </xf>
    <xf numFmtId="0" fontId="5" fillId="3" borderId="27" xfId="0" applyNumberFormat="1" applyFont="1" applyFill="1" applyBorder="1" applyAlignment="1">
      <alignment horizontal="center" vertical="center" wrapText="1"/>
    </xf>
    <xf numFmtId="0" fontId="5" fillId="3" borderId="31" xfId="0" applyNumberFormat="1" applyFont="1" applyFill="1" applyBorder="1" applyAlignment="1">
      <alignment horizontal="center" vertical="center" wrapText="1"/>
    </xf>
    <xf numFmtId="0" fontId="5" fillId="0" borderId="49" xfId="0" applyNumberFormat="1" applyFont="1" applyBorder="1" applyAlignment="1">
      <alignment horizontal="center" vertical="center" wrapText="1"/>
    </xf>
    <xf numFmtId="0" fontId="5" fillId="0" borderId="27" xfId="0" applyNumberFormat="1" applyFont="1" applyBorder="1" applyAlignment="1">
      <alignment horizontal="center" vertical="center" wrapText="1"/>
    </xf>
    <xf numFmtId="0" fontId="5" fillId="0" borderId="27" xfId="0" applyNumberFormat="1" applyFont="1" applyFill="1" applyBorder="1" applyAlignment="1">
      <alignment horizontal="center" vertical="center" shrinkToFit="1"/>
    </xf>
    <xf numFmtId="0" fontId="5" fillId="0" borderId="50" xfId="0" applyNumberFormat="1" applyFont="1" applyBorder="1" applyAlignment="1">
      <alignment horizontal="center" vertical="center" wrapText="1"/>
    </xf>
    <xf numFmtId="0" fontId="5" fillId="0" borderId="27" xfId="0" applyNumberFormat="1" applyFont="1" applyFill="1" applyBorder="1" applyAlignment="1">
      <alignment horizontal="center" vertical="center" wrapText="1"/>
    </xf>
    <xf numFmtId="0" fontId="3" fillId="3" borderId="19" xfId="0" applyNumberFormat="1" applyFont="1" applyFill="1" applyBorder="1" applyAlignment="1">
      <alignment horizontal="center" vertical="center" wrapText="1"/>
    </xf>
    <xf numFmtId="0" fontId="3" fillId="0" borderId="20" xfId="0" applyNumberFormat="1" applyFont="1" applyFill="1" applyBorder="1" applyAlignment="1">
      <alignment horizontal="center" vertical="center" wrapText="1"/>
    </xf>
    <xf numFmtId="0" fontId="5" fillId="0" borderId="45" xfId="0" applyNumberFormat="1" applyFont="1" applyBorder="1" applyAlignment="1">
      <alignment horizontal="center" vertical="center" wrapText="1"/>
    </xf>
    <xf numFmtId="0" fontId="3" fillId="0" borderId="51" xfId="0" applyNumberFormat="1" applyFont="1" applyBorder="1" applyAlignment="1">
      <alignment horizontal="center" vertical="center" wrapText="1"/>
    </xf>
    <xf numFmtId="0" fontId="3" fillId="0" borderId="52" xfId="0" applyNumberFormat="1" applyFont="1" applyBorder="1" applyAlignment="1">
      <alignment horizontal="center" vertical="center" wrapText="1"/>
    </xf>
    <xf numFmtId="0" fontId="3" fillId="0" borderId="53" xfId="0" applyNumberFormat="1" applyFont="1" applyBorder="1" applyAlignment="1">
      <alignment horizontal="center" vertical="center" wrapText="1"/>
    </xf>
    <xf numFmtId="0" fontId="5" fillId="0" borderId="54" xfId="0" applyNumberFormat="1" applyFont="1" applyBorder="1" applyAlignment="1">
      <alignment horizontal="center" vertical="center" wrapText="1"/>
    </xf>
    <xf numFmtId="0" fontId="6" fillId="3" borderId="47" xfId="0" applyNumberFormat="1" applyFont="1" applyFill="1" applyBorder="1" applyAlignment="1">
      <alignment horizontal="center" vertical="center" wrapText="1"/>
    </xf>
    <xf numFmtId="0" fontId="7" fillId="0" borderId="50" xfId="0" applyNumberFormat="1" applyFont="1" applyBorder="1" applyAlignment="1">
      <alignment horizontal="center" vertical="center" wrapText="1"/>
    </xf>
    <xf numFmtId="0" fontId="3" fillId="0" borderId="62" xfId="0" applyNumberFormat="1" applyFont="1" applyFill="1" applyBorder="1" applyAlignment="1">
      <alignment horizontal="center" vertical="center" shrinkToFit="1"/>
    </xf>
    <xf numFmtId="0" fontId="3" fillId="0" borderId="14" xfId="0" applyNumberFormat="1" applyFont="1" applyFill="1" applyBorder="1" applyAlignment="1">
      <alignment horizontal="center" vertical="center" shrinkToFit="1"/>
    </xf>
    <xf numFmtId="0" fontId="3" fillId="0" borderId="24" xfId="0" applyNumberFormat="1" applyFont="1" applyFill="1" applyBorder="1" applyAlignment="1">
      <alignment horizontal="center" vertical="center" wrapText="1"/>
    </xf>
    <xf numFmtId="0" fontId="3" fillId="0" borderId="14" xfId="0" applyNumberFormat="1" applyFont="1" applyFill="1" applyBorder="1" applyAlignment="1">
      <alignment horizontal="center" vertical="center" wrapText="1"/>
    </xf>
    <xf numFmtId="0" fontId="3" fillId="0" borderId="64" xfId="0" applyNumberFormat="1" applyFont="1" applyBorder="1" applyAlignment="1">
      <alignment horizontal="center" vertical="center" wrapText="1"/>
    </xf>
    <xf numFmtId="0" fontId="3" fillId="0" borderId="65" xfId="0" applyNumberFormat="1" applyFont="1" applyBorder="1" applyAlignment="1">
      <alignment horizontal="center" vertical="center" wrapText="1"/>
    </xf>
    <xf numFmtId="0" fontId="3" fillId="0" borderId="66" xfId="0" applyNumberFormat="1" applyFont="1" applyFill="1" applyBorder="1" applyAlignment="1" applyProtection="1">
      <alignment horizontal="center" vertical="center"/>
    </xf>
    <xf numFmtId="0" fontId="3" fillId="0" borderId="67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>
      <alignment vertical="center"/>
    </xf>
    <xf numFmtId="0" fontId="8" fillId="0" borderId="0" xfId="0" applyNumberFormat="1" applyFont="1" applyFill="1" applyBorder="1" applyAlignment="1">
      <alignment horizontal="center" vertical="center" wrapText="1"/>
    </xf>
    <xf numFmtId="0" fontId="5" fillId="0" borderId="49" xfId="0" applyNumberFormat="1" applyFont="1" applyFill="1" applyBorder="1" applyAlignment="1">
      <alignment horizontal="center" vertical="center" shrinkToFit="1"/>
    </xf>
    <xf numFmtId="0" fontId="3" fillId="0" borderId="21" xfId="0" applyNumberFormat="1" applyFont="1" applyFill="1" applyBorder="1" applyAlignment="1">
      <alignment horizontal="center" vertical="center" shrinkToFit="1"/>
    </xf>
    <xf numFmtId="0" fontId="3" fillId="0" borderId="26" xfId="0" applyNumberFormat="1" applyFont="1" applyFill="1" applyBorder="1" applyAlignment="1">
      <alignment horizontal="center" vertical="center" shrinkToFit="1"/>
    </xf>
    <xf numFmtId="0" fontId="5" fillId="0" borderId="70" xfId="0" applyNumberFormat="1" applyFont="1" applyFill="1" applyBorder="1" applyAlignment="1">
      <alignment horizontal="center" vertical="center" shrinkToFit="1"/>
    </xf>
    <xf numFmtId="0" fontId="3" fillId="3" borderId="71" xfId="0" applyNumberFormat="1" applyFont="1" applyFill="1" applyBorder="1" applyAlignment="1">
      <alignment horizontal="center" vertical="center" wrapText="1"/>
    </xf>
    <xf numFmtId="0" fontId="3" fillId="3" borderId="24" xfId="0" applyNumberFormat="1" applyFont="1" applyFill="1" applyBorder="1" applyAlignment="1">
      <alignment horizontal="center" vertical="center" wrapText="1"/>
    </xf>
    <xf numFmtId="0" fontId="0" fillId="0" borderId="40" xfId="0" applyNumberFormat="1" applyBorder="1">
      <alignment vertical="center"/>
    </xf>
    <xf numFmtId="0" fontId="3" fillId="3" borderId="72" xfId="0" applyNumberFormat="1" applyFont="1" applyFill="1" applyBorder="1" applyAlignment="1" applyProtection="1">
      <alignment horizontal="center" vertical="center" wrapText="1"/>
    </xf>
    <xf numFmtId="0" fontId="3" fillId="3" borderId="21" xfId="0" applyNumberFormat="1" applyFont="1" applyFill="1" applyBorder="1" applyAlignment="1" applyProtection="1">
      <alignment horizontal="center" vertical="center" wrapText="1"/>
    </xf>
    <xf numFmtId="0" fontId="3" fillId="3" borderId="26" xfId="0" applyNumberFormat="1" applyFont="1" applyFill="1" applyBorder="1" applyAlignment="1" applyProtection="1">
      <alignment horizontal="center" vertical="center" wrapText="1"/>
    </xf>
    <xf numFmtId="0" fontId="3" fillId="0" borderId="73" xfId="0" applyNumberFormat="1" applyFont="1" applyFill="1" applyBorder="1" applyAlignment="1">
      <alignment horizontal="center" vertical="center" shrinkToFit="1"/>
    </xf>
    <xf numFmtId="0" fontId="3" fillId="0" borderId="76" xfId="0" applyNumberFormat="1" applyFont="1" applyFill="1" applyBorder="1" applyAlignment="1">
      <alignment horizontal="center" vertical="center" wrapText="1"/>
    </xf>
    <xf numFmtId="0" fontId="3" fillId="0" borderId="77" xfId="0" applyNumberFormat="1" applyFont="1" applyFill="1" applyBorder="1" applyAlignment="1">
      <alignment horizontal="center" vertical="center" wrapText="1"/>
    </xf>
    <xf numFmtId="0" fontId="9" fillId="0" borderId="38" xfId="0" applyNumberFormat="1" applyFont="1" applyBorder="1" applyAlignment="1">
      <alignment horizontal="center" vertical="center" shrinkToFit="1"/>
    </xf>
    <xf numFmtId="0" fontId="9" fillId="0" borderId="16" xfId="0" applyNumberFormat="1" applyFont="1" applyBorder="1" applyAlignment="1">
      <alignment horizontal="center" vertical="center" shrinkToFit="1"/>
    </xf>
    <xf numFmtId="0" fontId="9" fillId="0" borderId="17" xfId="0" applyNumberFormat="1" applyFont="1" applyBorder="1" applyAlignment="1">
      <alignment horizontal="center" vertical="center" shrinkToFit="1"/>
    </xf>
    <xf numFmtId="0" fontId="9" fillId="0" borderId="35" xfId="0" applyNumberFormat="1" applyFont="1" applyBorder="1" applyAlignment="1">
      <alignment horizontal="center" vertical="center" shrinkToFit="1"/>
    </xf>
    <xf numFmtId="0" fontId="9" fillId="0" borderId="9" xfId="0" applyNumberFormat="1" applyFont="1" applyBorder="1" applyAlignment="1">
      <alignment horizontal="center" vertical="center" shrinkToFit="1"/>
    </xf>
    <xf numFmtId="0" fontId="9" fillId="2" borderId="78" xfId="0" applyNumberFormat="1" applyFont="1" applyFill="1" applyBorder="1" applyAlignment="1">
      <alignment horizontal="center" vertical="center" shrinkToFit="1"/>
    </xf>
    <xf numFmtId="0" fontId="9" fillId="2" borderId="79" xfId="0" applyNumberFormat="1" applyFont="1" applyFill="1" applyBorder="1" applyAlignment="1">
      <alignment horizontal="center" vertical="center" shrinkToFit="1"/>
    </xf>
    <xf numFmtId="0" fontId="9" fillId="2" borderId="80" xfId="0" applyNumberFormat="1" applyFont="1" applyFill="1" applyBorder="1" applyAlignment="1">
      <alignment horizontal="center" vertical="center" shrinkToFit="1"/>
    </xf>
    <xf numFmtId="0" fontId="9" fillId="2" borderId="81" xfId="0" applyNumberFormat="1" applyFont="1" applyFill="1" applyBorder="1" applyAlignment="1">
      <alignment horizontal="center" vertical="center" shrinkToFit="1"/>
    </xf>
    <xf numFmtId="0" fontId="9" fillId="2" borderId="82" xfId="0" applyNumberFormat="1" applyFont="1" applyFill="1" applyBorder="1" applyAlignment="1">
      <alignment horizontal="center" vertical="center" shrinkToFit="1"/>
    </xf>
    <xf numFmtId="0" fontId="9" fillId="2" borderId="83" xfId="0" applyNumberFormat="1" applyFont="1" applyFill="1" applyBorder="1" applyAlignment="1">
      <alignment horizontal="center" vertical="center" shrinkToFit="1"/>
    </xf>
    <xf numFmtId="0" fontId="9" fillId="0" borderId="37" xfId="0" applyNumberFormat="1" applyFont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0" fontId="9" fillId="0" borderId="8" xfId="0" applyNumberFormat="1" applyFont="1" applyBorder="1" applyAlignment="1">
      <alignment horizontal="center" vertical="center" shrinkToFit="1"/>
    </xf>
    <xf numFmtId="0" fontId="9" fillId="0" borderId="44" xfId="0" applyNumberFormat="1" applyFont="1" applyBorder="1" applyAlignment="1">
      <alignment horizontal="center" vertical="center" shrinkToFit="1"/>
    </xf>
    <xf numFmtId="0" fontId="9" fillId="0" borderId="31" xfId="0" applyNumberFormat="1" applyFont="1" applyBorder="1" applyAlignment="1">
      <alignment horizontal="center" vertical="center" shrinkToFit="1"/>
    </xf>
    <xf numFmtId="0" fontId="9" fillId="0" borderId="32" xfId="0" applyNumberFormat="1" applyFont="1" applyBorder="1" applyAlignment="1">
      <alignment horizontal="center" vertical="center" shrinkToFit="1"/>
    </xf>
    <xf numFmtId="0" fontId="9" fillId="0" borderId="84" xfId="0" applyNumberFormat="1" applyFont="1" applyBorder="1" applyAlignment="1">
      <alignment horizontal="center" vertical="center" shrinkToFit="1"/>
    </xf>
    <xf numFmtId="0" fontId="9" fillId="0" borderId="85" xfId="0" applyNumberFormat="1" applyFont="1" applyBorder="1" applyAlignment="1">
      <alignment horizontal="center" vertical="center" shrinkToFit="1"/>
    </xf>
    <xf numFmtId="0" fontId="9" fillId="0" borderId="86" xfId="0" applyNumberFormat="1" applyFont="1" applyBorder="1" applyAlignment="1">
      <alignment horizontal="center" vertical="center" shrinkToFit="1"/>
    </xf>
    <xf numFmtId="0" fontId="9" fillId="0" borderId="87" xfId="0" applyNumberFormat="1" applyFont="1" applyBorder="1" applyAlignment="1">
      <alignment horizontal="center" vertical="center" shrinkToFit="1"/>
    </xf>
    <xf numFmtId="0" fontId="9" fillId="2" borderId="88" xfId="0" applyNumberFormat="1" applyFont="1" applyFill="1" applyBorder="1" applyAlignment="1">
      <alignment horizontal="center" vertical="center" shrinkToFit="1"/>
    </xf>
    <xf numFmtId="0" fontId="9" fillId="2" borderId="89" xfId="0" applyNumberFormat="1" applyFont="1" applyFill="1" applyBorder="1" applyAlignment="1">
      <alignment horizontal="center" vertical="center" shrinkToFit="1"/>
    </xf>
    <xf numFmtId="0" fontId="9" fillId="2" borderId="90" xfId="0" applyNumberFormat="1" applyFont="1" applyFill="1" applyBorder="1" applyAlignment="1">
      <alignment horizontal="center" vertical="center" shrinkToFit="1"/>
    </xf>
    <xf numFmtId="0" fontId="9" fillId="2" borderId="91" xfId="0" applyNumberFormat="1" applyFont="1" applyFill="1" applyBorder="1" applyAlignment="1">
      <alignment horizontal="center" vertical="center" shrinkToFit="1"/>
    </xf>
    <xf numFmtId="0" fontId="9" fillId="2" borderId="92" xfId="0" applyNumberFormat="1" applyFont="1" applyFill="1" applyBorder="1" applyAlignment="1">
      <alignment horizontal="center" vertical="center" shrinkToFit="1"/>
    </xf>
    <xf numFmtId="0" fontId="3" fillId="0" borderId="97" xfId="0" applyNumberFormat="1" applyFont="1" applyFill="1" applyBorder="1" applyAlignment="1">
      <alignment horizontal="center" vertical="center" wrapText="1"/>
    </xf>
    <xf numFmtId="0" fontId="3" fillId="0" borderId="71" xfId="0" applyNumberFormat="1" applyFont="1" applyFill="1" applyBorder="1" applyAlignment="1">
      <alignment horizontal="center" vertical="center" wrapText="1"/>
    </xf>
    <xf numFmtId="0" fontId="3" fillId="0" borderId="71" xfId="0" applyNumberFormat="1" applyFont="1" applyBorder="1" applyAlignment="1">
      <alignment horizontal="center" vertical="center" wrapText="1"/>
    </xf>
    <xf numFmtId="0" fontId="3" fillId="0" borderId="98" xfId="0" applyNumberFormat="1" applyFont="1" applyBorder="1" applyAlignment="1">
      <alignment horizontal="center" vertical="center" wrapText="1"/>
    </xf>
    <xf numFmtId="0" fontId="3" fillId="3" borderId="93" xfId="0" applyNumberFormat="1" applyFont="1" applyFill="1" applyBorder="1" applyAlignment="1">
      <alignment horizontal="center" vertical="center" wrapText="1"/>
    </xf>
    <xf numFmtId="0" fontId="3" fillId="0" borderId="99" xfId="0" applyNumberFormat="1" applyFont="1" applyBorder="1" applyAlignment="1">
      <alignment horizontal="center" vertical="center" wrapText="1"/>
    </xf>
    <xf numFmtId="0" fontId="3" fillId="3" borderId="97" xfId="0" applyNumberFormat="1" applyFont="1" applyFill="1" applyBorder="1" applyAlignment="1">
      <alignment horizontal="center" vertical="center" wrapText="1"/>
    </xf>
    <xf numFmtId="0" fontId="3" fillId="3" borderId="73" xfId="0" applyNumberFormat="1" applyFont="1" applyFill="1" applyBorder="1" applyAlignment="1">
      <alignment horizontal="center" vertical="center" wrapText="1"/>
    </xf>
    <xf numFmtId="0" fontId="11" fillId="0" borderId="102" xfId="0" applyNumberFormat="1" applyFont="1" applyBorder="1">
      <alignment vertical="center"/>
    </xf>
    <xf numFmtId="0" fontId="11" fillId="0" borderId="0" xfId="0" applyNumberFormat="1" applyFont="1" applyBorder="1">
      <alignment vertical="center"/>
    </xf>
    <xf numFmtId="0" fontId="11" fillId="0" borderId="40" xfId="0" applyNumberFormat="1" applyFont="1" applyBorder="1">
      <alignment vertical="center"/>
    </xf>
    <xf numFmtId="0" fontId="3" fillId="0" borderId="87" xfId="0" applyNumberFormat="1" applyFont="1" applyBorder="1" applyAlignment="1">
      <alignment horizontal="center" vertical="center" shrinkToFit="1"/>
    </xf>
    <xf numFmtId="0" fontId="5" fillId="0" borderId="70" xfId="0" applyNumberFormat="1" applyFont="1" applyBorder="1" applyAlignment="1">
      <alignment horizontal="center" vertical="center" wrapText="1"/>
    </xf>
    <xf numFmtId="0" fontId="5" fillId="0" borderId="103" xfId="0" applyNumberFormat="1" applyFont="1" applyBorder="1" applyAlignment="1">
      <alignment horizontal="center" vertical="center" wrapText="1"/>
    </xf>
    <xf numFmtId="0" fontId="12" fillId="0" borderId="0" xfId="0" applyNumberFormat="1" applyFont="1">
      <alignment vertical="center"/>
    </xf>
    <xf numFmtId="0" fontId="3" fillId="5" borderId="23" xfId="0" applyNumberFormat="1" applyFont="1" applyFill="1" applyBorder="1" applyAlignment="1" applyProtection="1">
      <alignment vertical="center" wrapText="1"/>
    </xf>
    <xf numFmtId="0" fontId="9" fillId="0" borderId="0" xfId="0" applyNumberFormat="1" applyFont="1" applyAlignment="1">
      <alignment horizontal="center" vertical="center"/>
    </xf>
    <xf numFmtId="0" fontId="3" fillId="5" borderId="71" xfId="0" applyNumberFormat="1" applyFont="1" applyFill="1" applyBorder="1" applyAlignment="1">
      <alignment horizontal="center" vertical="center" wrapText="1"/>
    </xf>
    <xf numFmtId="0" fontId="3" fillId="5" borderId="23" xfId="0" applyNumberFormat="1" applyFont="1" applyFill="1" applyBorder="1" applyAlignment="1">
      <alignment horizontal="center" vertical="center" wrapText="1"/>
    </xf>
    <xf numFmtId="0" fontId="3" fillId="5" borderId="25" xfId="0" applyNumberFormat="1" applyFont="1" applyFill="1" applyBorder="1" applyAlignment="1">
      <alignment horizontal="center" vertical="center" wrapText="1"/>
    </xf>
    <xf numFmtId="0" fontId="9" fillId="0" borderId="104" xfId="0" applyNumberFormat="1" applyFont="1" applyBorder="1" applyAlignment="1">
      <alignment horizontal="center" vertical="center" shrinkToFit="1"/>
    </xf>
    <xf numFmtId="0" fontId="3" fillId="0" borderId="51" xfId="0" applyNumberFormat="1" applyFont="1" applyFill="1" applyBorder="1" applyAlignment="1" applyProtection="1">
      <alignment horizontal="center" vertical="center" wrapText="1"/>
    </xf>
    <xf numFmtId="0" fontId="3" fillId="0" borderId="52" xfId="0" applyNumberFormat="1" applyFont="1" applyFill="1" applyBorder="1" applyAlignment="1" applyProtection="1">
      <alignment horizontal="center" vertical="center" wrapText="1"/>
    </xf>
    <xf numFmtId="0" fontId="3" fillId="0" borderId="98" xfId="0" applyNumberFormat="1" applyFont="1" applyFill="1" applyBorder="1" applyAlignment="1" applyProtection="1">
      <alignment horizontal="center" vertical="center" wrapText="1"/>
    </xf>
    <xf numFmtId="0" fontId="3" fillId="0" borderId="53" xfId="0" applyNumberFormat="1" applyFont="1" applyFill="1" applyBorder="1" applyAlignment="1" applyProtection="1">
      <alignment horizontal="center" vertical="center" wrapText="1"/>
    </xf>
    <xf numFmtId="0" fontId="3" fillId="5" borderId="23" xfId="0" applyNumberFormat="1" applyFont="1" applyFill="1" applyBorder="1" applyAlignment="1" applyProtection="1">
      <alignment horizontal="center" vertical="center" wrapText="1"/>
    </xf>
    <xf numFmtId="0" fontId="3" fillId="5" borderId="25" xfId="0" applyNumberFormat="1" applyFont="1" applyFill="1" applyBorder="1" applyAlignment="1" applyProtection="1">
      <alignment horizontal="center" vertical="center" wrapText="1"/>
    </xf>
    <xf numFmtId="0" fontId="3" fillId="0" borderId="22" xfId="0" applyNumberFormat="1" applyFont="1" applyFill="1" applyBorder="1" applyAlignment="1">
      <alignment horizontal="center" vertical="center" wrapText="1"/>
    </xf>
    <xf numFmtId="0" fontId="3" fillId="0" borderId="113" xfId="0" applyNumberFormat="1" applyFont="1" applyFill="1" applyBorder="1" applyAlignment="1" applyProtection="1">
      <alignment horizontal="center" vertical="center" wrapText="1"/>
    </xf>
    <xf numFmtId="0" fontId="3" fillId="0" borderId="114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5" fillId="3" borderId="31" xfId="0" applyNumberFormat="1" applyFont="1" applyFill="1" applyBorder="1" applyAlignment="1" applyProtection="1">
      <alignment horizontal="center" vertical="center" shrinkToFit="1"/>
    </xf>
    <xf numFmtId="0" fontId="3" fillId="0" borderId="35" xfId="0" applyNumberFormat="1" applyFont="1" applyFill="1" applyBorder="1" applyAlignment="1" applyProtection="1">
      <alignment horizontal="center" vertical="center" shrinkToFit="1"/>
    </xf>
    <xf numFmtId="0" fontId="3" fillId="0" borderId="9" xfId="0" applyNumberFormat="1" applyFont="1" applyFill="1" applyBorder="1" applyAlignment="1" applyProtection="1">
      <alignment horizontal="center" vertical="center" shrinkToFit="1"/>
    </xf>
    <xf numFmtId="0" fontId="3" fillId="0" borderId="87" xfId="0" applyNumberFormat="1" applyFont="1" applyFill="1" applyBorder="1" applyAlignment="1" applyProtection="1">
      <alignment horizontal="center" vertical="center" shrinkToFit="1"/>
    </xf>
    <xf numFmtId="0" fontId="3" fillId="0" borderId="8" xfId="0" applyNumberFormat="1" applyFont="1" applyFill="1" applyBorder="1" applyAlignment="1" applyProtection="1">
      <alignment horizontal="center" vertical="center" shrinkToFit="1"/>
    </xf>
    <xf numFmtId="0" fontId="5" fillId="3" borderId="27" xfId="0" applyNumberFormat="1" applyFont="1" applyFill="1" applyBorder="1" applyAlignment="1" applyProtection="1">
      <alignment horizontal="center" vertical="center" shrinkToFit="1"/>
    </xf>
    <xf numFmtId="0" fontId="3" fillId="0" borderId="37" xfId="0" applyNumberFormat="1" applyFont="1" applyFill="1" applyBorder="1" applyAlignment="1" applyProtection="1">
      <alignment horizontal="center" vertical="center" shrinkToFit="1"/>
    </xf>
    <xf numFmtId="0" fontId="3" fillId="0" borderId="7" xfId="0" applyNumberFormat="1" applyFont="1" applyFill="1" applyBorder="1" applyAlignment="1" applyProtection="1">
      <alignment horizontal="center" vertical="center" shrinkToFit="1"/>
    </xf>
    <xf numFmtId="0" fontId="3" fillId="0" borderId="115" xfId="0" applyNumberFormat="1" applyFont="1" applyFill="1" applyBorder="1" applyAlignment="1" applyProtection="1">
      <alignment horizontal="center" vertical="center" shrinkToFit="1"/>
    </xf>
    <xf numFmtId="0" fontId="3" fillId="0" borderId="116" xfId="0" applyNumberFormat="1" applyFont="1" applyFill="1" applyBorder="1" applyAlignment="1" applyProtection="1">
      <alignment horizontal="center" vertical="center" shrinkToFit="1"/>
    </xf>
    <xf numFmtId="0" fontId="5" fillId="3" borderId="117" xfId="0" applyNumberFormat="1" applyFont="1" applyFill="1" applyBorder="1" applyAlignment="1" applyProtection="1">
      <alignment horizontal="center" vertical="center" shrinkToFit="1"/>
    </xf>
    <xf numFmtId="0" fontId="3" fillId="2" borderId="118" xfId="0" applyNumberFormat="1" applyFont="1" applyFill="1" applyBorder="1" applyAlignment="1" applyProtection="1">
      <alignment horizontal="center" vertical="center" shrinkToFit="1"/>
    </xf>
    <xf numFmtId="0" fontId="3" fillId="2" borderId="119" xfId="0" applyNumberFormat="1" applyFont="1" applyFill="1" applyBorder="1" applyAlignment="1" applyProtection="1">
      <alignment horizontal="center" vertical="center" shrinkToFit="1"/>
    </xf>
    <xf numFmtId="0" fontId="3" fillId="5" borderId="115" xfId="0" applyNumberFormat="1" applyFont="1" applyFill="1" applyBorder="1" applyAlignment="1" applyProtection="1">
      <alignment horizontal="center" vertical="center" shrinkToFit="1"/>
    </xf>
    <xf numFmtId="0" fontId="3" fillId="5" borderId="116" xfId="0" applyNumberFormat="1" applyFont="1" applyFill="1" applyBorder="1" applyAlignment="1" applyProtection="1">
      <alignment horizontal="center" vertical="center" shrinkToFit="1"/>
    </xf>
    <xf numFmtId="0" fontId="5" fillId="3" borderId="49" xfId="0" applyNumberFormat="1" applyFont="1" applyFill="1" applyBorder="1" applyAlignment="1" applyProtection="1">
      <alignment horizontal="center" vertical="center" shrinkToFit="1"/>
    </xf>
    <xf numFmtId="0" fontId="3" fillId="0" borderId="38" xfId="0" applyNumberFormat="1" applyFont="1" applyFill="1" applyBorder="1" applyAlignment="1" applyProtection="1">
      <alignment horizontal="center" vertical="center" shrinkToFit="1"/>
    </xf>
    <xf numFmtId="0" fontId="3" fillId="0" borderId="16" xfId="0" applyNumberFormat="1" applyFont="1" applyFill="1" applyBorder="1" applyAlignment="1" applyProtection="1">
      <alignment horizontal="center" vertical="center" shrinkToFit="1"/>
    </xf>
    <xf numFmtId="0" fontId="3" fillId="0" borderId="17" xfId="0" applyNumberFormat="1" applyFont="1" applyFill="1" applyBorder="1" applyAlignment="1" applyProtection="1">
      <alignment horizontal="center" vertical="center" shrinkToFit="1"/>
    </xf>
    <xf numFmtId="0" fontId="5" fillId="3" borderId="117" xfId="0" quotePrefix="1" applyNumberFormat="1" applyFont="1" applyFill="1" applyBorder="1" applyAlignment="1" applyProtection="1">
      <alignment horizontal="center" vertical="center" shrinkToFit="1"/>
    </xf>
    <xf numFmtId="0" fontId="3" fillId="0" borderId="13" xfId="0" applyNumberFormat="1" applyFont="1" applyFill="1" applyBorder="1" applyAlignment="1" applyProtection="1">
      <alignment horizontal="center" vertical="center" shrinkToFit="1"/>
    </xf>
    <xf numFmtId="0" fontId="3" fillId="0" borderId="15" xfId="0" applyNumberFormat="1" applyFont="1" applyFill="1" applyBorder="1" applyAlignment="1" applyProtection="1">
      <alignment horizontal="center" vertical="center" shrinkToFit="1"/>
    </xf>
    <xf numFmtId="0" fontId="5" fillId="3" borderId="47" xfId="0" applyNumberFormat="1" applyFont="1" applyFill="1" applyBorder="1" applyAlignment="1" applyProtection="1">
      <alignment horizontal="center" vertical="center" shrinkToFit="1"/>
    </xf>
    <xf numFmtId="0" fontId="5" fillId="3" borderId="49" xfId="0" applyNumberFormat="1" applyFont="1" applyFill="1" applyBorder="1" applyAlignment="1" applyProtection="1">
      <alignment vertical="center" shrinkToFit="1"/>
    </xf>
    <xf numFmtId="0" fontId="3" fillId="0" borderId="14" xfId="0" applyNumberFormat="1" applyFont="1" applyFill="1" applyBorder="1" applyAlignment="1" applyProtection="1">
      <alignment horizontal="center" vertical="center" shrinkToFit="1"/>
    </xf>
    <xf numFmtId="0" fontId="5" fillId="3" borderId="47" xfId="0" quotePrefix="1" applyNumberFormat="1" applyFont="1" applyFill="1" applyBorder="1" applyAlignment="1" applyProtection="1">
      <alignment horizontal="center" vertical="center" shrinkToFit="1"/>
    </xf>
    <xf numFmtId="0" fontId="5" fillId="3" borderId="27" xfId="0" applyNumberFormat="1" applyFont="1" applyFill="1" applyBorder="1" applyAlignment="1" applyProtection="1">
      <alignment horizontal="center" vertical="center" wrapText="1" shrinkToFit="1"/>
    </xf>
    <xf numFmtId="0" fontId="3" fillId="0" borderId="10" xfId="0" applyNumberFormat="1" applyFont="1" applyFill="1" applyBorder="1" applyAlignment="1" applyProtection="1">
      <alignment horizontal="center" vertical="center" shrinkToFit="1"/>
    </xf>
    <xf numFmtId="0" fontId="3" fillId="0" borderId="11" xfId="0" applyNumberFormat="1" applyFont="1" applyFill="1" applyBorder="1" applyAlignment="1" applyProtection="1">
      <alignment horizontal="center" vertical="center" shrinkToFit="1"/>
    </xf>
    <xf numFmtId="0" fontId="5" fillId="3" borderId="103" xfId="0" applyNumberFormat="1" applyFont="1" applyFill="1" applyBorder="1" applyAlignment="1" applyProtection="1">
      <alignment horizontal="center" vertical="center" shrinkToFit="1"/>
    </xf>
    <xf numFmtId="0" fontId="0" fillId="0" borderId="0" xfId="0" applyNumberFormat="1" applyFont="1" applyFill="1" applyBorder="1" applyAlignment="1" applyProtection="1">
      <alignment vertical="center"/>
    </xf>
    <xf numFmtId="0" fontId="3" fillId="0" borderId="84" xfId="0" applyNumberFormat="1" applyFont="1" applyFill="1" applyBorder="1" applyAlignment="1" applyProtection="1">
      <alignment horizontal="center" vertical="center" shrinkToFit="1"/>
    </xf>
    <xf numFmtId="0" fontId="3" fillId="0" borderId="85" xfId="0" applyNumberFormat="1" applyFont="1" applyFill="1" applyBorder="1" applyAlignment="1" applyProtection="1">
      <alignment horizontal="center" vertical="center" shrinkToFit="1"/>
    </xf>
    <xf numFmtId="0" fontId="3" fillId="0" borderId="86" xfId="0" applyNumberFormat="1" applyFont="1" applyFill="1" applyBorder="1" applyAlignment="1" applyProtection="1">
      <alignment horizontal="center" vertical="center" shrinkToFit="1"/>
    </xf>
    <xf numFmtId="0" fontId="3" fillId="0" borderId="31" xfId="0" applyNumberFormat="1" applyFont="1" applyFill="1" applyBorder="1" applyAlignment="1" applyProtection="1">
      <alignment horizontal="center" vertical="center" shrinkToFit="1"/>
    </xf>
    <xf numFmtId="0" fontId="3" fillId="0" borderId="32" xfId="0" applyNumberFormat="1" applyFont="1" applyFill="1" applyBorder="1" applyAlignment="1" applyProtection="1">
      <alignment horizontal="center" vertical="center" shrinkToFit="1"/>
    </xf>
    <xf numFmtId="0" fontId="5" fillId="3" borderId="27" xfId="0" applyNumberFormat="1" applyFont="1" applyFill="1" applyBorder="1" applyAlignment="1" applyProtection="1">
      <alignment horizontal="center" vertical="center" wrapText="1"/>
    </xf>
    <xf numFmtId="0" fontId="5" fillId="3" borderId="31" xfId="0" applyNumberFormat="1" applyFont="1" applyFill="1" applyBorder="1" applyAlignment="1" applyProtection="1">
      <alignment horizontal="center" vertical="center" wrapText="1"/>
    </xf>
    <xf numFmtId="0" fontId="3" fillId="5" borderId="25" xfId="0" applyNumberFormat="1" applyFont="1" applyFill="1" applyBorder="1" applyAlignment="1" applyProtection="1">
      <alignment vertical="center" wrapText="1"/>
    </xf>
    <xf numFmtId="0" fontId="5" fillId="0" borderId="49" xfId="0" applyNumberFormat="1" applyFont="1" applyFill="1" applyBorder="1" applyAlignment="1" applyProtection="1">
      <alignment horizontal="center" vertical="center" wrapText="1"/>
    </xf>
    <xf numFmtId="0" fontId="9" fillId="0" borderId="38" xfId="0" applyNumberFormat="1" applyFont="1" applyFill="1" applyBorder="1" applyAlignment="1" applyProtection="1">
      <alignment horizontal="center" vertical="center" shrinkToFit="1"/>
    </xf>
    <xf numFmtId="0" fontId="9" fillId="0" borderId="16" xfId="0" applyNumberFormat="1" applyFont="1" applyFill="1" applyBorder="1" applyAlignment="1" applyProtection="1">
      <alignment horizontal="center" vertical="center" shrinkToFit="1"/>
    </xf>
    <xf numFmtId="0" fontId="9" fillId="0" borderId="17" xfId="0" applyNumberFormat="1" applyFont="1" applyFill="1" applyBorder="1" applyAlignment="1" applyProtection="1">
      <alignment horizontal="center" vertical="center" shrinkToFit="1"/>
    </xf>
    <xf numFmtId="0" fontId="5" fillId="0" borderId="27" xfId="0" applyNumberFormat="1" applyFont="1" applyFill="1" applyBorder="1" applyAlignment="1" applyProtection="1">
      <alignment horizontal="center" vertical="center" wrapText="1"/>
    </xf>
    <xf numFmtId="0" fontId="9" fillId="0" borderId="35" xfId="0" applyNumberFormat="1" applyFont="1" applyFill="1" applyBorder="1" applyAlignment="1" applyProtection="1">
      <alignment horizontal="center" vertical="center" shrinkToFit="1"/>
    </xf>
    <xf numFmtId="0" fontId="9" fillId="0" borderId="9" xfId="0" applyNumberFormat="1" applyFont="1" applyFill="1" applyBorder="1" applyAlignment="1" applyProtection="1">
      <alignment horizontal="center" vertical="center" shrinkToFit="1"/>
    </xf>
    <xf numFmtId="0" fontId="9" fillId="0" borderId="87" xfId="0" applyNumberFormat="1" applyFont="1" applyFill="1" applyBorder="1" applyAlignment="1" applyProtection="1">
      <alignment horizontal="center" vertical="center" shrinkToFit="1"/>
    </xf>
    <xf numFmtId="0" fontId="9" fillId="0" borderId="8" xfId="0" applyNumberFormat="1" applyFont="1" applyFill="1" applyBorder="1" applyAlignment="1" applyProtection="1">
      <alignment horizontal="center" vertical="center" shrinkToFi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3" fillId="0" borderId="25" xfId="0" applyNumberFormat="1" applyFont="1" applyFill="1" applyBorder="1" applyAlignment="1" applyProtection="1">
      <alignment horizontal="center" vertical="center" wrapText="1"/>
    </xf>
    <xf numFmtId="0" fontId="5" fillId="0" borderId="50" xfId="0" applyNumberFormat="1" applyFont="1" applyFill="1" applyBorder="1" applyAlignment="1" applyProtection="1">
      <alignment horizontal="center" vertical="center" wrapText="1"/>
    </xf>
    <xf numFmtId="0" fontId="9" fillId="2" borderId="120" xfId="0" applyNumberFormat="1" applyFont="1" applyFill="1" applyBorder="1" applyAlignment="1" applyProtection="1">
      <alignment horizontal="center" vertical="center" shrinkToFit="1"/>
    </xf>
    <xf numFmtId="0" fontId="9" fillId="2" borderId="121" xfId="0" applyNumberFormat="1" applyFont="1" applyFill="1" applyBorder="1" applyAlignment="1" applyProtection="1">
      <alignment horizontal="center" vertical="center" shrinkToFit="1"/>
    </xf>
    <xf numFmtId="0" fontId="3" fillId="0" borderId="71" xfId="0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top"/>
    </xf>
    <xf numFmtId="0" fontId="16" fillId="0" borderId="0" xfId="0" applyNumberFormat="1" applyFont="1" applyFill="1" applyBorder="1" applyAlignment="1" applyProtection="1">
      <alignment horizontal="center" vertical="top"/>
    </xf>
    <xf numFmtId="0" fontId="3" fillId="0" borderId="382" xfId="0" applyNumberFormat="1" applyFont="1" applyFill="1" applyBorder="1" applyAlignment="1" applyProtection="1">
      <alignment horizontal="center" vertical="center" shrinkToFit="1"/>
    </xf>
    <xf numFmtId="0" fontId="5" fillId="3" borderId="391" xfId="0" applyNumberFormat="1" applyFont="1" applyFill="1" applyBorder="1" applyAlignment="1" applyProtection="1">
      <alignment horizontal="center" vertical="center" shrinkToFit="1"/>
    </xf>
    <xf numFmtId="0" fontId="3" fillId="2" borderId="80" xfId="0" applyNumberFormat="1" applyFont="1" applyFill="1" applyBorder="1" applyAlignment="1" applyProtection="1">
      <alignment horizontal="center" vertical="center" shrinkToFit="1"/>
    </xf>
    <xf numFmtId="0" fontId="3" fillId="2" borderId="81" xfId="0" applyNumberFormat="1" applyFont="1" applyFill="1" applyBorder="1" applyAlignment="1" applyProtection="1">
      <alignment horizontal="center" vertical="center" shrinkToFit="1"/>
    </xf>
    <xf numFmtId="0" fontId="3" fillId="2" borderId="120" xfId="0" applyNumberFormat="1" applyFont="1" applyFill="1" applyBorder="1" applyAlignment="1" applyProtection="1">
      <alignment horizontal="center" vertical="center" shrinkToFit="1"/>
    </xf>
    <xf numFmtId="0" fontId="3" fillId="2" borderId="121" xfId="0" applyNumberFormat="1" applyFont="1" applyFill="1" applyBorder="1" applyAlignment="1" applyProtection="1">
      <alignment horizontal="center" vertical="center" shrinkToFit="1"/>
    </xf>
    <xf numFmtId="0" fontId="3" fillId="0" borderId="44" xfId="0" applyNumberFormat="1" applyFont="1" applyFill="1" applyBorder="1" applyAlignment="1" applyProtection="1">
      <alignment horizontal="center" vertical="center" shrinkToFit="1"/>
    </xf>
    <xf numFmtId="0" fontId="3" fillId="0" borderId="18" xfId="0" applyNumberFormat="1" applyFont="1" applyFill="1" applyBorder="1" applyAlignment="1">
      <alignment horizontal="center" vertical="center" wrapText="1"/>
    </xf>
    <xf numFmtId="0" fontId="3" fillId="0" borderId="19" xfId="0" applyNumberFormat="1" applyFont="1" applyFill="1" applyBorder="1" applyAlignment="1">
      <alignment horizontal="center" vertical="center" wrapText="1"/>
    </xf>
    <xf numFmtId="0" fontId="3" fillId="6" borderId="115" xfId="0" applyNumberFormat="1" applyFont="1" applyFill="1" applyBorder="1" applyAlignment="1" applyProtection="1">
      <alignment horizontal="center" vertical="center" shrinkToFit="1"/>
    </xf>
    <xf numFmtId="0" fontId="3" fillId="6" borderId="116" xfId="0" applyNumberFormat="1" applyFont="1" applyFill="1" applyBorder="1" applyAlignment="1" applyProtection="1">
      <alignment horizontal="center" vertical="center" shrinkToFit="1"/>
    </xf>
    <xf numFmtId="0" fontId="5" fillId="3" borderId="46" xfId="0" applyNumberFormat="1" applyFont="1" applyFill="1" applyBorder="1" applyAlignment="1" applyProtection="1">
      <alignment horizontal="center" vertical="center" shrinkToFit="1"/>
    </xf>
    <xf numFmtId="0" fontId="3" fillId="0" borderId="34" xfId="0" applyNumberFormat="1" applyFont="1" applyFill="1" applyBorder="1" applyAlignment="1" applyProtection="1">
      <alignment horizontal="center" vertical="center" shrinkToFit="1"/>
    </xf>
    <xf numFmtId="0" fontId="3" fillId="0" borderId="6" xfId="0" applyNumberFormat="1" applyFont="1" applyFill="1" applyBorder="1" applyAlignment="1" applyProtection="1">
      <alignment horizontal="center" vertical="center" shrinkToFit="1"/>
    </xf>
    <xf numFmtId="0" fontId="3" fillId="0" borderId="400" xfId="0" applyNumberFormat="1" applyFont="1" applyFill="1" applyBorder="1" applyAlignment="1" applyProtection="1">
      <alignment horizontal="center" vertical="center" shrinkToFit="1"/>
    </xf>
    <xf numFmtId="0" fontId="3" fillId="3" borderId="62" xfId="0" applyNumberFormat="1" applyFont="1" applyFill="1" applyBorder="1" applyAlignment="1" applyProtection="1">
      <alignment horizontal="center" vertical="center" shrinkToFit="1"/>
    </xf>
    <xf numFmtId="0" fontId="3" fillId="3" borderId="69" xfId="0" applyNumberFormat="1" applyFont="1" applyFill="1" applyBorder="1" applyAlignment="1" applyProtection="1">
      <alignment horizontal="center" vertical="center" shrinkToFit="1"/>
    </xf>
    <xf numFmtId="0" fontId="5" fillId="3" borderId="60" xfId="0" applyNumberFormat="1" applyFont="1" applyFill="1" applyBorder="1" applyAlignment="1" applyProtection="1">
      <alignment horizontal="center" vertical="center" shrinkToFit="1"/>
    </xf>
    <xf numFmtId="0" fontId="3" fillId="2" borderId="82" xfId="0" applyNumberFormat="1" applyFont="1" applyFill="1" applyBorder="1" applyAlignment="1" applyProtection="1">
      <alignment horizontal="center" vertical="center" shrinkToFit="1"/>
    </xf>
    <xf numFmtId="0" fontId="3" fillId="2" borderId="83" xfId="0" applyNumberFormat="1" applyFont="1" applyFill="1" applyBorder="1" applyAlignment="1" applyProtection="1">
      <alignment horizontal="center" vertical="center" shrinkToFit="1"/>
    </xf>
    <xf numFmtId="0" fontId="3" fillId="7" borderId="18" xfId="0" applyNumberFormat="1" applyFont="1" applyFill="1" applyBorder="1" applyAlignment="1">
      <alignment horizontal="center" vertical="center" wrapText="1"/>
    </xf>
    <xf numFmtId="0" fontId="3" fillId="7" borderId="20" xfId="0" applyNumberFormat="1" applyFont="1" applyFill="1" applyBorder="1" applyAlignment="1">
      <alignment horizontal="center" vertical="center" wrapText="1"/>
    </xf>
    <xf numFmtId="0" fontId="3" fillId="0" borderId="23" xfId="0" applyNumberFormat="1" applyFont="1" applyFill="1" applyBorder="1" applyAlignment="1">
      <alignment horizontal="center" vertical="center" shrinkToFit="1"/>
    </xf>
    <xf numFmtId="0" fontId="3" fillId="0" borderId="25" xfId="0" applyNumberFormat="1" applyFont="1" applyFill="1" applyBorder="1" applyAlignment="1">
      <alignment horizontal="center" vertical="center" shrinkToFit="1"/>
    </xf>
    <xf numFmtId="0" fontId="5" fillId="0" borderId="50" xfId="0" applyNumberFormat="1" applyFont="1" applyFill="1" applyBorder="1" applyAlignment="1">
      <alignment horizontal="center" vertical="center" shrinkToFit="1"/>
    </xf>
    <xf numFmtId="0" fontId="9" fillId="2" borderId="120" xfId="0" applyNumberFormat="1" applyFont="1" applyFill="1" applyBorder="1" applyAlignment="1">
      <alignment horizontal="center" vertical="center" shrinkToFit="1"/>
    </xf>
    <xf numFmtId="0" fontId="9" fillId="2" borderId="121" xfId="0" applyNumberFormat="1" applyFont="1" applyFill="1" applyBorder="1" applyAlignment="1">
      <alignment horizontal="center" vertical="center" shrinkToFit="1"/>
    </xf>
    <xf numFmtId="0" fontId="5" fillId="0" borderId="46" xfId="0" applyNumberFormat="1" applyFont="1" applyBorder="1" applyAlignment="1">
      <alignment horizontal="center" vertical="center" wrapText="1"/>
    </xf>
    <xf numFmtId="0" fontId="9" fillId="0" borderId="34" xfId="0" applyNumberFormat="1" applyFont="1" applyBorder="1" applyAlignment="1">
      <alignment horizontal="center" vertical="center" shrinkToFit="1"/>
    </xf>
    <xf numFmtId="0" fontId="9" fillId="0" borderId="6" xfId="0" applyNumberFormat="1" applyFont="1" applyBorder="1" applyAlignment="1">
      <alignment horizontal="center" vertical="center" shrinkToFit="1"/>
    </xf>
    <xf numFmtId="0" fontId="9" fillId="0" borderId="400" xfId="0" applyNumberFormat="1" applyFont="1" applyBorder="1" applyAlignment="1">
      <alignment horizontal="center" vertical="center" shrinkToFit="1"/>
    </xf>
    <xf numFmtId="0" fontId="0" fillId="0" borderId="0" xfId="0" applyNumberFormat="1" applyBorder="1">
      <alignment vertical="center"/>
    </xf>
    <xf numFmtId="0" fontId="3" fillId="7" borderId="23" xfId="0" applyNumberFormat="1" applyFont="1" applyFill="1" applyBorder="1" applyAlignment="1" applyProtection="1">
      <alignment vertical="center" wrapText="1"/>
    </xf>
    <xf numFmtId="0" fontId="3" fillId="7" borderId="25" xfId="0" applyNumberFormat="1" applyFont="1" applyFill="1" applyBorder="1" applyAlignment="1" applyProtection="1">
      <alignment vertical="center" wrapText="1"/>
    </xf>
    <xf numFmtId="0" fontId="3" fillId="0" borderId="97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26" xfId="0" applyNumberFormat="1" applyFont="1" applyFill="1" applyBorder="1" applyAlignment="1" applyProtection="1">
      <alignment horizontal="center" vertical="center" wrapText="1"/>
    </xf>
    <xf numFmtId="0" fontId="3" fillId="7" borderId="97" xfId="0" applyNumberFormat="1" applyFont="1" applyFill="1" applyBorder="1" applyAlignment="1">
      <alignment horizontal="center" vertical="center" wrapText="1"/>
    </xf>
    <xf numFmtId="0" fontId="3" fillId="7" borderId="21" xfId="0" applyNumberFormat="1" applyFont="1" applyFill="1" applyBorder="1" applyAlignment="1">
      <alignment horizontal="center" vertical="center" wrapText="1"/>
    </xf>
    <xf numFmtId="0" fontId="3" fillId="7" borderId="26" xfId="0" applyNumberFormat="1" applyFont="1" applyFill="1" applyBorder="1" applyAlignment="1">
      <alignment horizontal="center" vertical="center" wrapText="1"/>
    </xf>
    <xf numFmtId="0" fontId="3" fillId="7" borderId="93" xfId="0" applyNumberFormat="1" applyFont="1" applyFill="1" applyBorder="1" applyAlignment="1">
      <alignment horizontal="center" vertical="center" wrapText="1"/>
    </xf>
    <xf numFmtId="0" fontId="3" fillId="7" borderId="19" xfId="0" applyNumberFormat="1" applyFont="1" applyFill="1" applyBorder="1" applyAlignment="1">
      <alignment horizontal="center" vertical="center" wrapText="1"/>
    </xf>
    <xf numFmtId="0" fontId="3" fillId="7" borderId="13" xfId="0" applyNumberFormat="1" applyFont="1" applyFill="1" applyBorder="1" applyAlignment="1" applyProtection="1">
      <alignment horizontal="center" vertical="center" shrinkToFit="1"/>
    </xf>
    <xf numFmtId="0" fontId="3" fillId="7" borderId="14" xfId="0" applyNumberFormat="1" applyFont="1" applyFill="1" applyBorder="1" applyAlignment="1" applyProtection="1">
      <alignment horizontal="center" vertical="center" shrinkToFit="1"/>
    </xf>
    <xf numFmtId="0" fontId="3" fillId="3" borderId="26" xfId="0" applyNumberFormat="1" applyFont="1" applyFill="1" applyBorder="1" applyAlignment="1">
      <alignment horizontal="center" vertical="center" wrapText="1"/>
    </xf>
    <xf numFmtId="0" fontId="5" fillId="3" borderId="46" xfId="0" applyNumberFormat="1" applyFont="1" applyFill="1" applyBorder="1" applyAlignment="1" applyProtection="1">
      <alignment vertical="center" shrinkToFit="1"/>
    </xf>
    <xf numFmtId="0" fontId="3" fillId="5" borderId="62" xfId="0" applyNumberFormat="1" applyFont="1" applyFill="1" applyBorder="1" applyAlignment="1" applyProtection="1">
      <alignment horizontal="center" vertical="center" shrinkToFit="1"/>
    </xf>
    <xf numFmtId="0" fontId="3" fillId="5" borderId="63" xfId="0" applyNumberFormat="1" applyFont="1" applyFill="1" applyBorder="1" applyAlignment="1" applyProtection="1">
      <alignment horizontal="center" vertical="center" shrinkToFit="1"/>
    </xf>
    <xf numFmtId="0" fontId="3" fillId="0" borderId="62" xfId="0" applyNumberFormat="1" applyFont="1" applyFill="1" applyBorder="1" applyAlignment="1" applyProtection="1">
      <alignment horizontal="center" vertical="center" shrinkToFit="1"/>
    </xf>
    <xf numFmtId="0" fontId="3" fillId="0" borderId="63" xfId="0" applyNumberFormat="1" applyFont="1" applyFill="1" applyBorder="1" applyAlignment="1" applyProtection="1">
      <alignment horizontal="center" vertical="center" shrinkToFit="1"/>
    </xf>
    <xf numFmtId="0" fontId="3" fillId="0" borderId="69" xfId="0" applyNumberFormat="1" applyFont="1" applyFill="1" applyBorder="1" applyAlignment="1" applyProtection="1">
      <alignment horizontal="center" vertical="center" shrinkToFit="1"/>
    </xf>
    <xf numFmtId="0" fontId="3" fillId="7" borderId="115" xfId="0" applyNumberFormat="1" applyFont="1" applyFill="1" applyBorder="1" applyAlignment="1" applyProtection="1">
      <alignment horizontal="center" vertical="center" shrinkToFit="1"/>
    </xf>
    <xf numFmtId="0" fontId="9" fillId="0" borderId="440" xfId="0" applyNumberFormat="1" applyFont="1" applyBorder="1" applyAlignment="1">
      <alignment horizontal="center" vertical="center" shrinkToFit="1"/>
    </xf>
    <xf numFmtId="0" fontId="49" fillId="0" borderId="13" xfId="0" applyNumberFormat="1" applyFont="1" applyFill="1" applyBorder="1" applyAlignment="1" applyProtection="1">
      <alignment horizontal="center" vertical="center" shrinkToFit="1"/>
    </xf>
    <xf numFmtId="0" fontId="49" fillId="0" borderId="115" xfId="0" applyNumberFormat="1" applyFont="1" applyFill="1" applyBorder="1" applyAlignment="1" applyProtection="1">
      <alignment horizontal="center" vertical="center" shrinkToFit="1"/>
    </xf>
    <xf numFmtId="0" fontId="49" fillId="0" borderId="14" xfId="0" applyNumberFormat="1" applyFont="1" applyFill="1" applyBorder="1" applyAlignment="1" applyProtection="1">
      <alignment horizontal="center" vertical="center" shrinkToFit="1"/>
    </xf>
    <xf numFmtId="0" fontId="49" fillId="3" borderId="23" xfId="0" applyNumberFormat="1" applyFont="1" applyFill="1" applyBorder="1" applyAlignment="1">
      <alignment horizontal="center" vertical="center" wrapText="1"/>
    </xf>
    <xf numFmtId="0" fontId="49" fillId="3" borderId="25" xfId="0" applyNumberFormat="1" applyFont="1" applyFill="1" applyBorder="1" applyAlignment="1">
      <alignment horizontal="center" vertical="center" wrapText="1"/>
    </xf>
    <xf numFmtId="0" fontId="49" fillId="0" borderId="21" xfId="0" applyNumberFormat="1" applyFont="1" applyFill="1" applyBorder="1" applyAlignment="1">
      <alignment horizontal="center" vertical="center" wrapText="1"/>
    </xf>
    <xf numFmtId="0" fontId="49" fillId="0" borderId="26" xfId="0" applyNumberFormat="1" applyFont="1" applyFill="1" applyBorder="1" applyAlignment="1">
      <alignment horizontal="center" vertical="center" wrapText="1"/>
    </xf>
    <xf numFmtId="0" fontId="49" fillId="3" borderId="97" xfId="0" applyNumberFormat="1" applyFont="1" applyFill="1" applyBorder="1" applyAlignment="1">
      <alignment horizontal="center" vertical="center" wrapText="1"/>
    </xf>
    <xf numFmtId="0" fontId="49" fillId="3" borderId="21" xfId="0" applyNumberFormat="1" applyFont="1" applyFill="1" applyBorder="1" applyAlignment="1">
      <alignment horizontal="center" vertical="center" wrapText="1"/>
    </xf>
    <xf numFmtId="0" fontId="49" fillId="3" borderId="26" xfId="0" applyNumberFormat="1" applyFont="1" applyFill="1" applyBorder="1" applyAlignment="1">
      <alignment horizontal="center" vertical="center" wrapText="1"/>
    </xf>
    <xf numFmtId="0" fontId="14" fillId="10" borderId="122" xfId="0" applyNumberFormat="1" applyFont="1" applyFill="1" applyBorder="1" applyAlignment="1" applyProtection="1">
      <alignment vertical="center" wrapText="1"/>
    </xf>
    <xf numFmtId="0" fontId="14" fillId="10" borderId="123" xfId="0" applyNumberFormat="1" applyFont="1" applyFill="1" applyBorder="1" applyAlignment="1" applyProtection="1">
      <alignment vertical="center" wrapText="1"/>
    </xf>
    <xf numFmtId="0" fontId="1" fillId="11" borderId="1" xfId="0" applyNumberFormat="1" applyFont="1" applyFill="1" applyBorder="1" applyAlignment="1">
      <alignment horizontal="center" vertical="center" shrinkToFit="1"/>
    </xf>
    <xf numFmtId="0" fontId="1" fillId="11" borderId="2" xfId="0" applyNumberFormat="1" applyFont="1" applyFill="1" applyBorder="1" applyAlignment="1">
      <alignment horizontal="center" vertical="center" shrinkToFit="1"/>
    </xf>
    <xf numFmtId="0" fontId="1" fillId="11" borderId="3" xfId="0" applyNumberFormat="1" applyFont="1" applyFill="1" applyBorder="1" applyAlignment="1">
      <alignment horizontal="center" vertical="center" shrinkToFit="1"/>
    </xf>
    <xf numFmtId="0" fontId="2" fillId="11" borderId="33" xfId="0" applyNumberFormat="1" applyFont="1" applyFill="1" applyBorder="1" applyAlignment="1">
      <alignment horizontal="center" vertical="center" shrinkToFit="1"/>
    </xf>
    <xf numFmtId="0" fontId="2" fillId="11" borderId="4" xfId="0" applyNumberFormat="1" applyFont="1" applyFill="1" applyBorder="1" applyAlignment="1">
      <alignment horizontal="center" vertical="center" shrinkToFit="1"/>
    </xf>
    <xf numFmtId="0" fontId="2" fillId="11" borderId="5" xfId="0" applyNumberFormat="1" applyFont="1" applyFill="1" applyBorder="1" applyAlignment="1">
      <alignment horizontal="center" vertical="center" shrinkToFit="1"/>
    </xf>
    <xf numFmtId="0" fontId="1" fillId="11" borderId="45" xfId="0" applyNumberFormat="1" applyFont="1" applyFill="1" applyBorder="1" applyAlignment="1">
      <alignment horizontal="center" vertical="center" wrapText="1"/>
    </xf>
    <xf numFmtId="0" fontId="1" fillId="11" borderId="27" xfId="0" applyNumberFormat="1" applyFont="1" applyFill="1" applyBorder="1" applyAlignment="1">
      <alignment horizontal="center" vertical="center" wrapText="1"/>
    </xf>
    <xf numFmtId="0" fontId="1" fillId="11" borderId="1" xfId="0" applyNumberFormat="1" applyFont="1" applyFill="1" applyBorder="1" applyAlignment="1">
      <alignment horizontal="center" vertical="center" wrapText="1"/>
    </xf>
    <xf numFmtId="0" fontId="1" fillId="11" borderId="442" xfId="0" applyNumberFormat="1" applyFont="1" applyFill="1" applyBorder="1" applyAlignment="1">
      <alignment horizontal="center" vertical="center" wrapText="1"/>
    </xf>
    <xf numFmtId="0" fontId="1" fillId="11" borderId="444" xfId="0" applyNumberFormat="1" applyFont="1" applyFill="1" applyBorder="1" applyAlignment="1">
      <alignment horizontal="center" vertical="center" wrapText="1"/>
    </xf>
    <xf numFmtId="0" fontId="1" fillId="11" borderId="70" xfId="0" applyNumberFormat="1" applyFont="1" applyFill="1" applyBorder="1" applyAlignment="1">
      <alignment horizontal="center" vertical="center" wrapText="1"/>
    </xf>
    <xf numFmtId="0" fontId="42" fillId="12" borderId="30" xfId="0" applyNumberFormat="1" applyFont="1" applyFill="1" applyBorder="1" applyAlignment="1">
      <alignment horizontal="center" vertical="center" wrapText="1"/>
    </xf>
    <xf numFmtId="0" fontId="43" fillId="12" borderId="43" xfId="0" applyNumberFormat="1" applyFont="1" applyFill="1" applyBorder="1" applyAlignment="1">
      <alignment horizontal="center" vertical="center"/>
    </xf>
    <xf numFmtId="0" fontId="43" fillId="12" borderId="30" xfId="0" applyNumberFormat="1" applyFont="1" applyFill="1" applyBorder="1" applyAlignment="1">
      <alignment horizontal="center" vertical="center"/>
    </xf>
    <xf numFmtId="0" fontId="43" fillId="12" borderId="58" xfId="0" applyNumberFormat="1" applyFont="1" applyFill="1" applyBorder="1" applyAlignment="1">
      <alignment horizontal="center" vertical="center"/>
    </xf>
    <xf numFmtId="0" fontId="42" fillId="12" borderId="31" xfId="0" applyNumberFormat="1" applyFont="1" applyFill="1" applyBorder="1" applyAlignment="1">
      <alignment horizontal="center" vertical="center" wrapText="1"/>
    </xf>
    <xf numFmtId="0" fontId="43" fillId="12" borderId="44" xfId="0" applyNumberFormat="1" applyFont="1" applyFill="1" applyBorder="1" applyAlignment="1">
      <alignment horizontal="center" vertical="center"/>
    </xf>
    <xf numFmtId="0" fontId="43" fillId="12" borderId="31" xfId="0" applyNumberFormat="1" applyFont="1" applyFill="1" applyBorder="1" applyAlignment="1">
      <alignment horizontal="center" vertical="center"/>
    </xf>
    <xf numFmtId="0" fontId="43" fillId="12" borderId="32" xfId="0" applyNumberFormat="1" applyFont="1" applyFill="1" applyBorder="1" applyAlignment="1">
      <alignment horizontal="center" vertical="center"/>
    </xf>
    <xf numFmtId="0" fontId="42" fillId="12" borderId="100" xfId="0" applyNumberFormat="1" applyFont="1" applyFill="1" applyBorder="1" applyAlignment="1">
      <alignment horizontal="center" vertical="center" wrapText="1"/>
    </xf>
    <xf numFmtId="0" fontId="42" fillId="12" borderId="70" xfId="0" applyNumberFormat="1" applyFont="1" applyFill="1" applyBorder="1" applyAlignment="1">
      <alignment horizontal="center" vertical="center" wrapText="1"/>
    </xf>
    <xf numFmtId="0" fontId="43" fillId="12" borderId="59" xfId="0" applyNumberFormat="1" applyFont="1" applyFill="1" applyBorder="1" applyAlignment="1">
      <alignment horizontal="center" vertical="center"/>
    </xf>
    <xf numFmtId="0" fontId="43" fillId="12" borderId="60" xfId="0" applyNumberFormat="1" applyFont="1" applyFill="1" applyBorder="1" applyAlignment="1">
      <alignment horizontal="center" vertical="center"/>
    </xf>
    <xf numFmtId="0" fontId="43" fillId="12" borderId="70" xfId="0" applyNumberFormat="1" applyFont="1" applyFill="1" applyBorder="1" applyAlignment="1">
      <alignment horizontal="center" vertical="center"/>
    </xf>
    <xf numFmtId="0" fontId="43" fillId="12" borderId="61" xfId="0" applyNumberFormat="1" applyFont="1" applyFill="1" applyBorder="1" applyAlignment="1">
      <alignment horizontal="center" vertical="center"/>
    </xf>
    <xf numFmtId="0" fontId="42" fillId="12" borderId="101" xfId="0" applyNumberFormat="1" applyFont="1" applyFill="1" applyBorder="1" applyAlignment="1">
      <alignment horizontal="center" vertical="center" wrapText="1"/>
    </xf>
    <xf numFmtId="0" fontId="53" fillId="11" borderId="27" xfId="0" applyNumberFormat="1" applyFont="1" applyFill="1" applyBorder="1" applyAlignment="1">
      <alignment horizontal="center" vertical="center" wrapText="1"/>
    </xf>
    <xf numFmtId="0" fontId="53" fillId="11" borderId="40" xfId="0" applyNumberFormat="1" applyFont="1" applyFill="1" applyBorder="1" applyAlignment="1">
      <alignment horizontal="center" vertical="center" wrapText="1"/>
    </xf>
    <xf numFmtId="0" fontId="53" fillId="11" borderId="94" xfId="0" applyNumberFormat="1" applyFont="1" applyFill="1" applyBorder="1" applyAlignment="1">
      <alignment horizontal="center" vertical="center" wrapText="1"/>
    </xf>
    <xf numFmtId="0" fontId="53" fillId="11" borderId="56" xfId="0" applyNumberFormat="1" applyFont="1" applyFill="1" applyBorder="1" applyAlignment="1">
      <alignment horizontal="center" vertical="center" wrapText="1"/>
    </xf>
    <xf numFmtId="0" fontId="53" fillId="11" borderId="39" xfId="0" applyNumberFormat="1" applyFont="1" applyFill="1" applyBorder="1" applyAlignment="1">
      <alignment horizontal="center" vertical="center" wrapText="1"/>
    </xf>
    <xf numFmtId="0" fontId="53" fillId="11" borderId="41" xfId="0" applyNumberFormat="1" applyFont="1" applyFill="1" applyBorder="1" applyAlignment="1">
      <alignment horizontal="center" vertical="center" wrapText="1"/>
    </xf>
    <xf numFmtId="0" fontId="53" fillId="11" borderId="28" xfId="0" applyNumberFormat="1" applyFont="1" applyFill="1" applyBorder="1" applyAlignment="1">
      <alignment horizontal="center" vertical="center" wrapText="1"/>
    </xf>
    <xf numFmtId="0" fontId="53" fillId="11" borderId="68" xfId="0" applyNumberFormat="1" applyFont="1" applyFill="1" applyBorder="1" applyAlignment="1">
      <alignment horizontal="center" vertical="center" wrapText="1"/>
    </xf>
    <xf numFmtId="0" fontId="53" fillId="11" borderId="95" xfId="0" applyNumberFormat="1" applyFont="1" applyFill="1" applyBorder="1" applyAlignment="1">
      <alignment horizontal="center" vertical="center" wrapText="1"/>
    </xf>
    <xf numFmtId="0" fontId="53" fillId="11" borderId="96" xfId="0" applyNumberFormat="1" applyFont="1" applyFill="1" applyBorder="1" applyAlignment="1">
      <alignment horizontal="center" vertical="center" wrapText="1"/>
    </xf>
    <xf numFmtId="0" fontId="52" fillId="11" borderId="27" xfId="0" applyNumberFormat="1" applyFont="1" applyFill="1" applyBorder="1" applyAlignment="1">
      <alignment horizontal="center" vertical="center" wrapText="1"/>
    </xf>
    <xf numFmtId="0" fontId="52" fillId="11" borderId="40" xfId="0" applyNumberFormat="1" applyFont="1" applyFill="1" applyBorder="1" applyAlignment="1">
      <alignment horizontal="center" vertical="center" wrapText="1"/>
    </xf>
    <xf numFmtId="0" fontId="52" fillId="11" borderId="105" xfId="0" applyNumberFormat="1" applyFont="1" applyFill="1" applyBorder="1" applyAlignment="1">
      <alignment horizontal="center" vertical="center" wrapText="1"/>
    </xf>
    <xf numFmtId="0" fontId="52" fillId="11" borderId="55" xfId="0" applyNumberFormat="1" applyFont="1" applyFill="1" applyBorder="1" applyAlignment="1">
      <alignment horizontal="center" vertical="center" wrapText="1"/>
    </xf>
    <xf numFmtId="0" fontId="52" fillId="11" borderId="39" xfId="0" applyNumberFormat="1" applyFont="1" applyFill="1" applyBorder="1" applyAlignment="1">
      <alignment horizontal="center" vertical="center" wrapText="1"/>
    </xf>
    <xf numFmtId="0" fontId="52" fillId="11" borderId="41" xfId="0" applyNumberFormat="1" applyFont="1" applyFill="1" applyBorder="1" applyAlignment="1">
      <alignment horizontal="center" vertical="center" wrapText="1"/>
    </xf>
    <xf numFmtId="0" fontId="52" fillId="11" borderId="106" xfId="0" applyNumberFormat="1" applyFont="1" applyFill="1" applyBorder="1" applyAlignment="1">
      <alignment horizontal="center" vertical="center" wrapText="1"/>
    </xf>
    <xf numFmtId="0" fontId="52" fillId="11" borderId="28" xfId="0" applyNumberFormat="1" applyFont="1" applyFill="1" applyBorder="1" applyAlignment="1">
      <alignment horizontal="center" vertical="center" wrapText="1"/>
    </xf>
    <xf numFmtId="0" fontId="52" fillId="11" borderId="31" xfId="0" applyNumberFormat="1" applyFont="1" applyFill="1" applyBorder="1" applyAlignment="1">
      <alignment horizontal="center" vertical="center" wrapText="1"/>
    </xf>
    <xf numFmtId="0" fontId="52" fillId="11" borderId="56" xfId="0" applyNumberFormat="1" applyFont="1" applyFill="1" applyBorder="1" applyAlignment="1">
      <alignment horizontal="center" vertical="center" wrapText="1"/>
    </xf>
    <xf numFmtId="0" fontId="52" fillId="11" borderId="42" xfId="0" applyNumberFormat="1" applyFont="1" applyFill="1" applyBorder="1" applyAlignment="1">
      <alignment horizontal="center" vertical="center" wrapText="1"/>
    </xf>
    <xf numFmtId="0" fontId="52" fillId="11" borderId="29" xfId="0" applyNumberFormat="1" applyFont="1" applyFill="1" applyBorder="1" applyAlignment="1">
      <alignment horizontal="center" vertical="center" wrapText="1"/>
    </xf>
    <xf numFmtId="0" fontId="52" fillId="11" borderId="57" xfId="0" applyNumberFormat="1" applyFont="1" applyFill="1" applyBorder="1" applyAlignment="1">
      <alignment horizontal="center" vertical="center" wrapText="1"/>
    </xf>
    <xf numFmtId="0" fontId="53" fillId="11" borderId="452" xfId="0" applyNumberFormat="1" applyFont="1" applyFill="1" applyBorder="1" applyAlignment="1">
      <alignment horizontal="center" vertical="center" wrapText="1"/>
    </xf>
    <xf numFmtId="0" fontId="3" fillId="0" borderId="400" xfId="0" applyNumberFormat="1" applyFont="1" applyBorder="1" applyAlignment="1">
      <alignment horizontal="center" vertical="center" shrinkToFit="1"/>
    </xf>
    <xf numFmtId="0" fontId="3" fillId="2" borderId="120" xfId="0" applyNumberFormat="1" applyFont="1" applyFill="1" applyBorder="1" applyAlignment="1">
      <alignment horizontal="center" vertical="center" shrinkToFit="1"/>
    </xf>
    <xf numFmtId="0" fontId="3" fillId="2" borderId="121" xfId="0" applyNumberFormat="1" applyFont="1" applyFill="1" applyBorder="1" applyAlignment="1">
      <alignment horizontal="center" vertical="center" shrinkToFit="1"/>
    </xf>
    <xf numFmtId="0" fontId="49" fillId="0" borderId="62" xfId="0" applyNumberFormat="1" applyFont="1" applyFill="1" applyBorder="1" applyAlignment="1">
      <alignment horizontal="center" vertical="center" wrapText="1"/>
    </xf>
    <xf numFmtId="0" fontId="49" fillId="0" borderId="69" xfId="0" applyNumberFormat="1" applyFont="1" applyFill="1" applyBorder="1" applyAlignment="1">
      <alignment horizontal="center" vertical="center" wrapText="1"/>
    </xf>
    <xf numFmtId="0" fontId="6" fillId="3" borderId="60" xfId="0" applyNumberFormat="1" applyFont="1" applyFill="1" applyBorder="1" applyAlignment="1">
      <alignment horizontal="center" vertical="center" wrapText="1"/>
    </xf>
    <xf numFmtId="0" fontId="3" fillId="2" borderId="82" xfId="0" applyNumberFormat="1" applyFont="1" applyFill="1" applyBorder="1" applyAlignment="1">
      <alignment horizontal="center" vertical="center" shrinkToFit="1"/>
    </xf>
    <xf numFmtId="0" fontId="3" fillId="2" borderId="83" xfId="0" applyNumberFormat="1" applyFont="1" applyFill="1" applyBorder="1" applyAlignment="1">
      <alignment horizontal="center" vertical="center" shrinkToFit="1"/>
    </xf>
    <xf numFmtId="0" fontId="54" fillId="0" borderId="0" xfId="0" applyFont="1" applyAlignment="1">
      <alignment horizontal="center" vertical="center"/>
    </xf>
    <xf numFmtId="0" fontId="55" fillId="0" borderId="148" xfId="0" applyNumberFormat="1" applyFont="1" applyBorder="1" applyAlignment="1">
      <alignment horizontal="center" vertical="center"/>
    </xf>
    <xf numFmtId="0" fontId="55" fillId="0" borderId="368" xfId="0" applyNumberFormat="1" applyFont="1" applyBorder="1" applyAlignment="1">
      <alignment horizontal="center" vertical="center"/>
    </xf>
    <xf numFmtId="0" fontId="55" fillId="0" borderId="305" xfId="0" applyNumberFormat="1" applyFont="1" applyBorder="1" applyAlignment="1">
      <alignment horizontal="center" vertical="center"/>
    </xf>
    <xf numFmtId="0" fontId="55" fillId="0" borderId="306" xfId="0" applyNumberFormat="1" applyFont="1" applyBorder="1" applyAlignment="1">
      <alignment horizontal="center" vertical="center"/>
    </xf>
    <xf numFmtId="0" fontId="55" fillId="0" borderId="149" xfId="0" applyNumberFormat="1" applyFont="1" applyBorder="1" applyAlignment="1">
      <alignment horizontal="center" vertical="center"/>
    </xf>
    <xf numFmtId="0" fontId="55" fillId="0" borderId="469" xfId="0" applyNumberFormat="1" applyFont="1" applyBorder="1" applyAlignment="1">
      <alignment horizontal="center" vertical="center"/>
    </xf>
    <xf numFmtId="0" fontId="56" fillId="4" borderId="62" xfId="0" applyNumberFormat="1" applyFont="1" applyFill="1" applyBorder="1" applyAlignment="1" applyProtection="1">
      <alignment horizontal="center" vertical="center" shrinkToFit="1"/>
    </xf>
    <xf numFmtId="0" fontId="56" fillId="4" borderId="63" xfId="0" applyNumberFormat="1" applyFont="1" applyFill="1" applyBorder="1" applyAlignment="1" applyProtection="1">
      <alignment horizontal="center" vertical="center" shrinkToFit="1"/>
    </xf>
    <xf numFmtId="0" fontId="56" fillId="4" borderId="13" xfId="0" applyNumberFormat="1" applyFont="1" applyFill="1" applyBorder="1" applyAlignment="1" applyProtection="1">
      <alignment horizontal="center" vertical="center" shrinkToFit="1"/>
    </xf>
    <xf numFmtId="0" fontId="56" fillId="4" borderId="15" xfId="0" applyNumberFormat="1" applyFont="1" applyFill="1" applyBorder="1" applyAlignment="1" applyProtection="1">
      <alignment horizontal="center" vertical="center" shrinkToFit="1"/>
    </xf>
    <xf numFmtId="0" fontId="56" fillId="4" borderId="62" xfId="0" applyNumberFormat="1" applyFont="1" applyFill="1" applyBorder="1" applyAlignment="1">
      <alignment horizontal="center" vertical="center" shrinkToFit="1"/>
    </xf>
    <xf numFmtId="0" fontId="56" fillId="4" borderId="63" xfId="0" applyNumberFormat="1" applyFont="1" applyFill="1" applyBorder="1" applyAlignment="1">
      <alignment horizontal="center" vertical="center" shrinkToFit="1"/>
    </xf>
    <xf numFmtId="0" fontId="56" fillId="4" borderId="13" xfId="0" applyNumberFormat="1" applyFont="1" applyFill="1" applyBorder="1" applyAlignment="1">
      <alignment horizontal="center" vertical="center" shrinkToFit="1"/>
    </xf>
    <xf numFmtId="0" fontId="56" fillId="4" borderId="15" xfId="0" applyNumberFormat="1" applyFont="1" applyFill="1" applyBorder="1" applyAlignment="1">
      <alignment horizontal="center" vertical="center" shrinkToFit="1"/>
    </xf>
    <xf numFmtId="0" fontId="56" fillId="4" borderId="23" xfId="0" applyNumberFormat="1" applyFont="1" applyFill="1" applyBorder="1" applyAlignment="1">
      <alignment horizontal="center" vertical="center" wrapText="1"/>
    </xf>
    <xf numFmtId="0" fontId="56" fillId="4" borderId="73" xfId="0" applyNumberFormat="1" applyFont="1" applyFill="1" applyBorder="1" applyAlignment="1">
      <alignment horizontal="center" vertical="center" wrapText="1"/>
    </xf>
    <xf numFmtId="0" fontId="56" fillId="4" borderId="13" xfId="0" applyNumberFormat="1" applyFont="1" applyFill="1" applyBorder="1" applyAlignment="1">
      <alignment horizontal="center" vertical="center" wrapText="1"/>
    </xf>
    <xf numFmtId="0" fontId="56" fillId="4" borderId="93" xfId="0" applyNumberFormat="1" applyFont="1" applyFill="1" applyBorder="1" applyAlignment="1">
      <alignment horizontal="center" vertical="center" wrapText="1"/>
    </xf>
    <xf numFmtId="0" fontId="56" fillId="4" borderId="18" xfId="0" applyNumberFormat="1" applyFont="1" applyFill="1" applyBorder="1" applyAlignment="1">
      <alignment horizontal="center" vertical="center" wrapText="1"/>
    </xf>
    <xf numFmtId="0" fontId="56" fillId="4" borderId="71" xfId="0" applyNumberFormat="1" applyFont="1" applyFill="1" applyBorder="1" applyAlignment="1" applyProtection="1">
      <alignment horizontal="center" vertical="center" wrapText="1"/>
    </xf>
    <xf numFmtId="0" fontId="56" fillId="4" borderId="23" xfId="0" applyNumberFormat="1" applyFont="1" applyFill="1" applyBorder="1" applyAlignment="1" applyProtection="1">
      <alignment horizontal="center" vertical="center" wrapText="1"/>
    </xf>
    <xf numFmtId="0" fontId="56" fillId="4" borderId="25" xfId="0" applyNumberFormat="1" applyFont="1" applyFill="1" applyBorder="1" applyAlignment="1" applyProtection="1">
      <alignment horizontal="center" vertical="center" wrapText="1"/>
    </xf>
    <xf numFmtId="0" fontId="3" fillId="4" borderId="265" xfId="0" applyNumberFormat="1" applyFont="1" applyFill="1" applyBorder="1" applyAlignment="1" applyProtection="1">
      <alignment horizontal="center" vertical="center" wrapText="1"/>
    </xf>
    <xf numFmtId="0" fontId="3" fillId="4" borderId="138" xfId="0" applyNumberFormat="1" applyFont="1" applyFill="1" applyBorder="1" applyAlignment="1" applyProtection="1">
      <alignment horizontal="center" vertical="center" wrapText="1"/>
    </xf>
    <xf numFmtId="0" fontId="3" fillId="4" borderId="139" xfId="0" applyNumberFormat="1" applyFont="1" applyFill="1" applyBorder="1" applyAlignment="1" applyProtection="1">
      <alignment horizontal="center" vertical="center" wrapText="1"/>
    </xf>
    <xf numFmtId="0" fontId="3" fillId="4" borderId="238" xfId="0" applyNumberFormat="1" applyFont="1" applyFill="1" applyBorder="1" applyAlignment="1" applyProtection="1">
      <alignment horizontal="center" vertical="center" wrapText="1"/>
    </xf>
    <xf numFmtId="0" fontId="3" fillId="4" borderId="135" xfId="0" applyNumberFormat="1" applyFont="1" applyFill="1" applyBorder="1" applyAlignment="1" applyProtection="1">
      <alignment horizontal="center" vertical="center" wrapText="1"/>
    </xf>
    <xf numFmtId="0" fontId="3" fillId="4" borderId="136" xfId="0" applyNumberFormat="1" applyFont="1" applyFill="1" applyBorder="1" applyAlignment="1" applyProtection="1">
      <alignment horizontal="center" vertical="center" wrapText="1"/>
    </xf>
    <xf numFmtId="0" fontId="57" fillId="0" borderId="62" xfId="0" applyNumberFormat="1" applyFont="1" applyFill="1" applyBorder="1" applyAlignment="1" applyProtection="1">
      <alignment horizontal="center" vertical="center" shrinkToFit="1"/>
    </xf>
    <xf numFmtId="0" fontId="57" fillId="0" borderId="63" xfId="0" applyNumberFormat="1" applyFont="1" applyFill="1" applyBorder="1" applyAlignment="1" applyProtection="1">
      <alignment horizontal="center" vertical="center" shrinkToFit="1"/>
    </xf>
    <xf numFmtId="0" fontId="57" fillId="0" borderId="21" xfId="0" applyNumberFormat="1" applyFont="1" applyFill="1" applyBorder="1" applyAlignment="1">
      <alignment horizontal="center" vertical="center" wrapText="1"/>
    </xf>
    <xf numFmtId="0" fontId="57" fillId="0" borderId="26" xfId="0" applyNumberFormat="1" applyFont="1" applyFill="1" applyBorder="1" applyAlignment="1">
      <alignment horizontal="center" vertical="center" wrapText="1"/>
    </xf>
    <xf numFmtId="0" fontId="57" fillId="15" borderId="238" xfId="0" applyNumberFormat="1" applyFont="1" applyFill="1" applyBorder="1" applyAlignment="1" applyProtection="1">
      <alignment horizontal="center" vertical="center" wrapText="1"/>
    </xf>
    <xf numFmtId="0" fontId="57" fillId="15" borderId="135" xfId="0" applyNumberFormat="1" applyFont="1" applyFill="1" applyBorder="1" applyAlignment="1" applyProtection="1">
      <alignment horizontal="center" vertical="center" wrapText="1"/>
    </xf>
    <xf numFmtId="0" fontId="57" fillId="15" borderId="136" xfId="0" applyNumberFormat="1" applyFont="1" applyFill="1" applyBorder="1" applyAlignment="1" applyProtection="1">
      <alignment horizontal="center" vertical="center" wrapText="1"/>
    </xf>
    <xf numFmtId="0" fontId="57" fillId="15" borderId="265" xfId="0" applyNumberFormat="1" applyFont="1" applyFill="1" applyBorder="1" applyAlignment="1" applyProtection="1">
      <alignment horizontal="center" vertical="center" wrapText="1"/>
    </xf>
    <xf numFmtId="0" fontId="57" fillId="15" borderId="138" xfId="0" applyNumberFormat="1" applyFont="1" applyFill="1" applyBorder="1" applyAlignment="1" applyProtection="1">
      <alignment horizontal="center" vertical="center" wrapText="1"/>
    </xf>
    <xf numFmtId="0" fontId="57" fillId="15" borderId="139" xfId="0" applyNumberFormat="1" applyFont="1" applyFill="1" applyBorder="1" applyAlignment="1" applyProtection="1">
      <alignment horizontal="center" vertical="center" wrapText="1"/>
    </xf>
    <xf numFmtId="0" fontId="57" fillId="15" borderId="97" xfId="0" applyNumberFormat="1" applyFont="1" applyFill="1" applyBorder="1" applyAlignment="1" applyProtection="1">
      <alignment horizontal="center" vertical="center" wrapText="1"/>
    </xf>
    <xf numFmtId="0" fontId="57" fillId="15" borderId="21" xfId="0" applyNumberFormat="1" applyFont="1" applyFill="1" applyBorder="1" applyAlignment="1" applyProtection="1">
      <alignment horizontal="center" vertical="center" wrapText="1"/>
    </xf>
    <xf numFmtId="0" fontId="57" fillId="15" borderId="26" xfId="0" applyNumberFormat="1" applyFont="1" applyFill="1" applyBorder="1" applyAlignment="1" applyProtection="1">
      <alignment horizontal="center" vertical="center" wrapText="1"/>
    </xf>
    <xf numFmtId="0" fontId="57" fillId="15" borderId="71" xfId="0" applyNumberFormat="1" applyFont="1" applyFill="1" applyBorder="1" applyAlignment="1" applyProtection="1">
      <alignment horizontal="center" vertical="center" wrapText="1"/>
    </xf>
    <xf numFmtId="0" fontId="57" fillId="15" borderId="23" xfId="0" applyNumberFormat="1" applyFont="1" applyFill="1" applyBorder="1" applyAlignment="1" applyProtection="1">
      <alignment horizontal="center" vertical="center" wrapText="1"/>
    </xf>
    <xf numFmtId="0" fontId="57" fillId="15" borderId="25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7" borderId="18" xfId="0" applyNumberFormat="1" applyFont="1" applyFill="1" applyBorder="1" applyAlignment="1" applyProtection="1">
      <alignment vertical="center" wrapText="1"/>
    </xf>
    <xf numFmtId="0" fontId="3" fillId="7" borderId="19" xfId="0" applyNumberFormat="1" applyFont="1" applyFill="1" applyBorder="1" applyAlignment="1" applyProtection="1">
      <alignment vertical="center" wrapText="1"/>
    </xf>
    <xf numFmtId="0" fontId="56" fillId="4" borderId="470" xfId="0" applyNumberFormat="1" applyFont="1" applyFill="1" applyBorder="1" applyAlignment="1" applyProtection="1">
      <alignment horizontal="center" vertical="center" wrapText="1"/>
    </xf>
    <xf numFmtId="0" fontId="57" fillId="0" borderId="115" xfId="0" applyNumberFormat="1" applyFont="1" applyFill="1" applyBorder="1" applyAlignment="1" applyProtection="1">
      <alignment horizontal="center" vertical="center" shrinkToFit="1"/>
    </xf>
    <xf numFmtId="0" fontId="71" fillId="0" borderId="13" xfId="0" applyNumberFormat="1" applyFont="1" applyFill="1" applyBorder="1" applyAlignment="1" applyProtection="1">
      <alignment horizontal="center" vertical="center" shrinkToFit="1"/>
    </xf>
    <xf numFmtId="0" fontId="57" fillId="0" borderId="13" xfId="0" applyNumberFormat="1" applyFont="1" applyBorder="1" applyAlignment="1">
      <alignment horizontal="center" vertical="center" shrinkToFit="1"/>
    </xf>
    <xf numFmtId="0" fontId="57" fillId="0" borderId="15" xfId="0" applyNumberFormat="1" applyFont="1" applyBorder="1" applyAlignment="1">
      <alignment horizontal="center" vertical="center" shrinkToFit="1"/>
    </xf>
    <xf numFmtId="0" fontId="57" fillId="0" borderId="23" xfId="0" applyNumberFormat="1" applyFont="1" applyFill="1" applyBorder="1" applyAlignment="1">
      <alignment horizontal="center" vertical="center" wrapText="1"/>
    </xf>
    <xf numFmtId="0" fontId="57" fillId="0" borderId="24" xfId="0" applyNumberFormat="1" applyFont="1" applyFill="1" applyBorder="1" applyAlignment="1">
      <alignment horizontal="center" vertical="center" wrapText="1"/>
    </xf>
    <xf numFmtId="0" fontId="57" fillId="0" borderId="25" xfId="0" applyNumberFormat="1" applyFont="1" applyFill="1" applyBorder="1" applyAlignment="1">
      <alignment horizontal="center" vertical="center" wrapText="1"/>
    </xf>
    <xf numFmtId="0" fontId="60" fillId="0" borderId="368" xfId="0" applyNumberFormat="1" applyFont="1" applyBorder="1" applyAlignment="1">
      <alignment horizontal="center" vertical="center"/>
    </xf>
    <xf numFmtId="0" fontId="60" fillId="0" borderId="459" xfId="0" applyNumberFormat="1" applyFont="1" applyBorder="1" applyAlignment="1">
      <alignment horizontal="center" vertical="center"/>
    </xf>
    <xf numFmtId="0" fontId="60" fillId="0" borderId="148" xfId="0" applyNumberFormat="1" applyFont="1" applyBorder="1" applyAlignment="1">
      <alignment horizontal="center" vertical="center"/>
    </xf>
    <xf numFmtId="0" fontId="60" fillId="0" borderId="454" xfId="0" applyNumberFormat="1" applyFont="1" applyBorder="1" applyAlignment="1">
      <alignment horizontal="center" vertical="center"/>
    </xf>
    <xf numFmtId="0" fontId="60" fillId="0" borderId="149" xfId="0" applyNumberFormat="1" applyFont="1" applyBorder="1" applyAlignment="1">
      <alignment horizontal="center" vertical="center"/>
    </xf>
    <xf numFmtId="0" fontId="60" fillId="0" borderId="466" xfId="0" applyNumberFormat="1" applyFont="1" applyBorder="1" applyAlignment="1">
      <alignment horizontal="center" vertical="center"/>
    </xf>
    <xf numFmtId="0" fontId="0" fillId="15" borderId="0" xfId="0" applyFill="1">
      <alignment vertical="center"/>
    </xf>
    <xf numFmtId="0" fontId="76" fillId="0" borderId="0" xfId="0" applyFont="1">
      <alignment vertical="center"/>
    </xf>
    <xf numFmtId="0" fontId="79" fillId="0" borderId="13" xfId="0" applyNumberFormat="1" applyFont="1" applyFill="1" applyBorder="1" applyAlignment="1">
      <alignment horizontal="center" vertical="center" wrapText="1"/>
    </xf>
    <xf numFmtId="0" fontId="3" fillId="0" borderId="63" xfId="0" applyNumberFormat="1" applyFont="1" applyFill="1" applyBorder="1" applyAlignment="1">
      <alignment horizontal="center" vertical="center" shrinkToFit="1"/>
    </xf>
    <xf numFmtId="0" fontId="79" fillId="0" borderId="15" xfId="0" applyNumberFormat="1" applyFont="1" applyFill="1" applyBorder="1" applyAlignment="1">
      <alignment horizontal="center" vertical="center" wrapText="1"/>
    </xf>
    <xf numFmtId="0" fontId="57" fillId="7" borderId="13" xfId="0" applyNumberFormat="1" applyFont="1" applyFill="1" applyBorder="1" applyAlignment="1" applyProtection="1">
      <alignment horizontal="center" vertical="center" shrinkToFit="1"/>
    </xf>
    <xf numFmtId="0" fontId="57" fillId="7" borderId="15" xfId="0" applyNumberFormat="1" applyFont="1" applyFill="1" applyBorder="1" applyAlignment="1" applyProtection="1">
      <alignment horizontal="center" vertical="center" shrinkToFit="1"/>
    </xf>
    <xf numFmtId="0" fontId="84" fillId="0" borderId="62" xfId="0" applyNumberFormat="1" applyFont="1" applyFill="1" applyBorder="1" applyAlignment="1">
      <alignment horizontal="center" vertical="center" wrapText="1"/>
    </xf>
    <xf numFmtId="0" fontId="84" fillId="0" borderId="69" xfId="0" applyNumberFormat="1" applyFont="1" applyFill="1" applyBorder="1" applyAlignment="1">
      <alignment horizontal="center" vertical="center" wrapText="1"/>
    </xf>
    <xf numFmtId="0" fontId="5" fillId="3" borderId="44" xfId="0" applyNumberFormat="1" applyFont="1" applyFill="1" applyBorder="1" applyAlignment="1" applyProtection="1">
      <alignment horizontal="center" vertical="center" shrinkToFit="1"/>
    </xf>
    <xf numFmtId="0" fontId="0" fillId="0" borderId="385" xfId="0" applyBorder="1">
      <alignment vertical="center"/>
    </xf>
    <xf numFmtId="0" fontId="56" fillId="4" borderId="73" xfId="0" applyNumberFormat="1" applyFont="1" applyFill="1" applyBorder="1" applyAlignment="1" applyProtection="1">
      <alignment horizontal="center" vertical="center" shrinkToFit="1"/>
    </xf>
    <xf numFmtId="0" fontId="85" fillId="4" borderId="471" xfId="0" applyNumberFormat="1" applyFont="1" applyFill="1" applyBorder="1" applyAlignment="1" applyProtection="1">
      <alignment horizontal="center" vertical="center" shrinkToFit="1"/>
    </xf>
    <xf numFmtId="0" fontId="85" fillId="4" borderId="426" xfId="0" applyNumberFormat="1" applyFont="1" applyFill="1" applyBorder="1" applyAlignment="1" applyProtection="1">
      <alignment horizontal="center" vertical="center" shrinkToFit="1"/>
    </xf>
    <xf numFmtId="0" fontId="85" fillId="4" borderId="314" xfId="0" applyNumberFormat="1" applyFont="1" applyFill="1" applyBorder="1" applyAlignment="1" applyProtection="1">
      <alignment horizontal="center" vertical="center" shrinkToFit="1"/>
    </xf>
    <xf numFmtId="0" fontId="18" fillId="4" borderId="471" xfId="0" applyNumberFormat="1" applyFont="1" applyFill="1" applyBorder="1" applyAlignment="1" applyProtection="1">
      <alignment horizontal="center" vertical="center" wrapText="1" shrinkToFit="1"/>
    </xf>
    <xf numFmtId="0" fontId="18" fillId="4" borderId="426" xfId="0" applyNumberFormat="1" applyFont="1" applyFill="1" applyBorder="1" applyAlignment="1" applyProtection="1">
      <alignment horizontal="center" vertical="center" shrinkToFit="1"/>
    </xf>
    <xf numFmtId="0" fontId="18" fillId="4" borderId="314" xfId="0" applyNumberFormat="1" applyFont="1" applyFill="1" applyBorder="1" applyAlignment="1" applyProtection="1">
      <alignment horizontal="center" vertical="center" shrinkToFit="1"/>
    </xf>
    <xf numFmtId="0" fontId="48" fillId="11" borderId="356" xfId="0" applyNumberFormat="1" applyFont="1" applyFill="1" applyBorder="1" applyAlignment="1">
      <alignment horizontal="center" vertical="center" wrapText="1"/>
    </xf>
    <xf numFmtId="0" fontId="48" fillId="11" borderId="357" xfId="0" applyNumberFormat="1" applyFont="1" applyFill="1" applyBorder="1" applyAlignment="1">
      <alignment horizontal="center" vertical="center" wrapText="1"/>
    </xf>
    <xf numFmtId="0" fontId="48" fillId="11" borderId="386" xfId="0" applyNumberFormat="1" applyFont="1" applyFill="1" applyBorder="1" applyAlignment="1">
      <alignment horizontal="center" vertical="center" wrapText="1"/>
    </xf>
    <xf numFmtId="0" fontId="48" fillId="11" borderId="4" xfId="0" applyNumberFormat="1" applyFont="1" applyFill="1" applyBorder="1" applyAlignment="1">
      <alignment horizontal="center" vertical="center" wrapText="1"/>
    </xf>
    <xf numFmtId="0" fontId="48" fillId="11" borderId="7" xfId="0" applyNumberFormat="1" applyFont="1" applyFill="1" applyBorder="1" applyAlignment="1">
      <alignment horizontal="center" vertical="center" wrapText="1"/>
    </xf>
    <xf numFmtId="0" fontId="48" fillId="11" borderId="105" xfId="0" applyNumberFormat="1" applyFont="1" applyFill="1" applyBorder="1" applyAlignment="1">
      <alignment horizontal="center" vertical="center" wrapText="1"/>
    </xf>
    <xf numFmtId="0" fontId="52" fillId="11" borderId="239" xfId="0" applyNumberFormat="1" applyFont="1" applyFill="1" applyBorder="1" applyAlignment="1">
      <alignment horizontal="center" vertical="center" wrapText="1"/>
    </xf>
    <xf numFmtId="0" fontId="52" fillId="11" borderId="354" xfId="0" applyNumberFormat="1" applyFont="1" applyFill="1" applyBorder="1" applyAlignment="1">
      <alignment horizontal="center" vertical="center" wrapText="1"/>
    </xf>
    <xf numFmtId="0" fontId="52" fillId="11" borderId="355" xfId="0" applyNumberFormat="1" applyFont="1" applyFill="1" applyBorder="1" applyAlignment="1">
      <alignment horizontal="center" vertical="center" wrapText="1"/>
    </xf>
    <xf numFmtId="0" fontId="52" fillId="11" borderId="451" xfId="0" applyNumberFormat="1" applyFont="1" applyFill="1" applyBorder="1" applyAlignment="1">
      <alignment horizontal="center" vertical="center" wrapText="1"/>
    </xf>
    <xf numFmtId="0" fontId="52" fillId="11" borderId="359" xfId="0" applyNumberFormat="1" applyFont="1" applyFill="1" applyBorder="1" applyAlignment="1">
      <alignment horizontal="center" vertical="center" wrapText="1"/>
    </xf>
    <xf numFmtId="0" fontId="52" fillId="11" borderId="360" xfId="0" applyNumberFormat="1" applyFont="1" applyFill="1" applyBorder="1" applyAlignment="1">
      <alignment horizontal="center" vertical="center" wrapText="1"/>
    </xf>
    <xf numFmtId="0" fontId="74" fillId="14" borderId="458" xfId="0" applyNumberFormat="1" applyFont="1" applyFill="1" applyBorder="1" applyAlignment="1">
      <alignment horizontal="center" vertical="center"/>
    </xf>
    <xf numFmtId="0" fontId="74" fillId="14" borderId="368" xfId="0" applyNumberFormat="1" applyFont="1" applyFill="1" applyBorder="1" applyAlignment="1">
      <alignment horizontal="center" vertical="center"/>
    </xf>
    <xf numFmtId="0" fontId="74" fillId="14" borderId="464" xfId="0" applyNumberFormat="1" applyFont="1" applyFill="1" applyBorder="1" applyAlignment="1">
      <alignment horizontal="center" vertical="center"/>
    </xf>
    <xf numFmtId="0" fontId="74" fillId="14" borderId="148" xfId="0" applyNumberFormat="1" applyFont="1" applyFill="1" applyBorder="1" applyAlignment="1">
      <alignment horizontal="center" vertical="center"/>
    </xf>
    <xf numFmtId="0" fontId="74" fillId="14" borderId="465" xfId="0" applyNumberFormat="1" applyFont="1" applyFill="1" applyBorder="1" applyAlignment="1">
      <alignment horizontal="center" vertical="center"/>
    </xf>
    <xf numFmtId="0" fontId="74" fillId="14" borderId="149" xfId="0" applyNumberFormat="1" applyFont="1" applyFill="1" applyBorder="1" applyAlignment="1">
      <alignment horizontal="center" vertical="center"/>
    </xf>
    <xf numFmtId="0" fontId="55" fillId="0" borderId="406" xfId="0" applyNumberFormat="1" applyFont="1" applyBorder="1" applyAlignment="1">
      <alignment horizontal="center" vertical="center"/>
    </xf>
    <xf numFmtId="0" fontId="55" fillId="0" borderId="368" xfId="0" applyNumberFormat="1" applyFont="1" applyBorder="1" applyAlignment="1">
      <alignment horizontal="center" vertical="center"/>
    </xf>
    <xf numFmtId="0" fontId="55" fillId="0" borderId="407" xfId="0" applyNumberFormat="1" applyFont="1" applyBorder="1" applyAlignment="1">
      <alignment horizontal="center" vertical="center"/>
    </xf>
    <xf numFmtId="0" fontId="55" fillId="0" borderId="460" xfId="0" applyNumberFormat="1" applyFont="1" applyBorder="1" applyAlignment="1">
      <alignment horizontal="center" vertical="center"/>
    </xf>
    <xf numFmtId="0" fontId="55" fillId="0" borderId="461" xfId="0" applyNumberFormat="1" applyFont="1" applyBorder="1" applyAlignment="1">
      <alignment horizontal="center" vertical="center"/>
    </xf>
    <xf numFmtId="0" fontId="55" fillId="0" borderId="462" xfId="0" applyNumberFormat="1" applyFont="1" applyBorder="1" applyAlignment="1">
      <alignment horizontal="center" vertical="center"/>
    </xf>
    <xf numFmtId="0" fontId="55" fillId="0" borderId="463" xfId="0" applyNumberFormat="1" applyFont="1" applyBorder="1" applyAlignment="1">
      <alignment horizontal="center" vertical="center"/>
    </xf>
    <xf numFmtId="0" fontId="55" fillId="0" borderId="150" xfId="0" applyNumberFormat="1" applyFont="1" applyBorder="1" applyAlignment="1">
      <alignment horizontal="center" vertical="center"/>
    </xf>
    <xf numFmtId="0" fontId="55" fillId="0" borderId="148" xfId="0" applyNumberFormat="1" applyFont="1" applyBorder="1" applyAlignment="1">
      <alignment horizontal="center" vertical="center"/>
    </xf>
    <xf numFmtId="0" fontId="55" fillId="0" borderId="154" xfId="0" applyNumberFormat="1" applyFont="1" applyBorder="1" applyAlignment="1">
      <alignment horizontal="center" vertical="center"/>
    </xf>
    <xf numFmtId="0" fontId="55" fillId="0" borderId="455" xfId="0" applyNumberFormat="1" applyFont="1" applyBorder="1" applyAlignment="1">
      <alignment horizontal="center" vertical="center"/>
    </xf>
    <xf numFmtId="0" fontId="55" fillId="0" borderId="456" xfId="0" applyNumberFormat="1" applyFont="1" applyBorder="1" applyAlignment="1">
      <alignment horizontal="center" vertical="center"/>
    </xf>
    <xf numFmtId="0" fontId="55" fillId="0" borderId="457" xfId="0" applyNumberFormat="1" applyFont="1" applyBorder="1" applyAlignment="1">
      <alignment horizontal="center" vertical="center"/>
    </xf>
    <xf numFmtId="0" fontId="55" fillId="0" borderId="212" xfId="0" applyNumberFormat="1" applyFont="1" applyBorder="1" applyAlignment="1">
      <alignment horizontal="center" vertical="center"/>
    </xf>
    <xf numFmtId="0" fontId="55" fillId="0" borderId="151" xfId="0" applyNumberFormat="1" applyFont="1" applyBorder="1" applyAlignment="1">
      <alignment horizontal="center" vertical="center"/>
    </xf>
    <xf numFmtId="0" fontId="55" fillId="0" borderId="149" xfId="0" applyNumberFormat="1" applyFont="1" applyBorder="1" applyAlignment="1">
      <alignment horizontal="center" vertical="center"/>
    </xf>
    <xf numFmtId="0" fontId="55" fillId="0" borderId="218" xfId="0" applyNumberFormat="1" applyFont="1" applyBorder="1" applyAlignment="1">
      <alignment horizontal="center" vertical="center"/>
    </xf>
    <xf numFmtId="0" fontId="55" fillId="0" borderId="373" xfId="0" applyNumberFormat="1" applyFont="1" applyBorder="1" applyAlignment="1">
      <alignment horizontal="center" vertical="center"/>
    </xf>
    <xf numFmtId="0" fontId="55" fillId="0" borderId="467" xfId="0" applyNumberFormat="1" applyFont="1" applyBorder="1" applyAlignment="1">
      <alignment horizontal="center" vertical="center"/>
    </xf>
    <xf numFmtId="0" fontId="55" fillId="0" borderId="468" xfId="0" applyNumberFormat="1" applyFont="1" applyBorder="1" applyAlignment="1">
      <alignment horizontal="center" vertical="center"/>
    </xf>
    <xf numFmtId="0" fontId="55" fillId="0" borderId="319" xfId="0" applyNumberFormat="1" applyFont="1" applyBorder="1" applyAlignment="1">
      <alignment horizontal="center" vertical="center"/>
    </xf>
    <xf numFmtId="0" fontId="48" fillId="11" borderId="361" xfId="0" applyNumberFormat="1" applyFont="1" applyFill="1" applyBorder="1" applyAlignment="1">
      <alignment horizontal="center" vertical="center" wrapText="1"/>
    </xf>
    <xf numFmtId="0" fontId="48" fillId="11" borderId="160" xfId="0" applyNumberFormat="1" applyFont="1" applyFill="1" applyBorder="1" applyAlignment="1">
      <alignment horizontal="center" vertical="center" wrapText="1"/>
    </xf>
    <xf numFmtId="0" fontId="48" fillId="11" borderId="138" xfId="0" applyNumberFormat="1" applyFont="1" applyFill="1" applyBorder="1" applyAlignment="1">
      <alignment horizontal="center" vertical="center" wrapText="1"/>
    </xf>
    <xf numFmtId="0" fontId="48" fillId="11" borderId="139" xfId="0" applyNumberFormat="1" applyFont="1" applyFill="1" applyBorder="1" applyAlignment="1">
      <alignment horizontal="center" vertical="center" wrapText="1"/>
    </xf>
    <xf numFmtId="0" fontId="13" fillId="0" borderId="170" xfId="0" applyNumberFormat="1" applyFont="1" applyFill="1" applyBorder="1" applyAlignment="1" applyProtection="1">
      <alignment horizontal="center" vertical="center" shrinkToFit="1"/>
    </xf>
    <xf numFmtId="0" fontId="13" fillId="0" borderId="171" xfId="0" applyNumberFormat="1" applyFont="1" applyFill="1" applyBorder="1" applyAlignment="1" applyProtection="1">
      <alignment horizontal="center" vertical="center" shrinkToFit="1"/>
    </xf>
    <xf numFmtId="0" fontId="1" fillId="0" borderId="330" xfId="0" applyNumberFormat="1" applyFont="1" applyFill="1" applyBorder="1" applyAlignment="1" applyProtection="1">
      <alignment horizontal="center" vertical="center" shrinkToFit="1"/>
    </xf>
    <xf numFmtId="0" fontId="1" fillId="0" borderId="226" xfId="0" applyNumberFormat="1" applyFont="1" applyFill="1" applyBorder="1" applyAlignment="1" applyProtection="1">
      <alignment horizontal="center" vertical="center" shrinkToFit="1"/>
    </xf>
    <xf numFmtId="0" fontId="1" fillId="0" borderId="227" xfId="0" applyNumberFormat="1" applyFont="1" applyFill="1" applyBorder="1" applyAlignment="1" applyProtection="1">
      <alignment horizontal="center" vertical="center" shrinkToFit="1"/>
    </xf>
    <xf numFmtId="0" fontId="1" fillId="0" borderId="453" xfId="0" applyNumberFormat="1" applyFont="1" applyFill="1" applyBorder="1" applyAlignment="1">
      <alignment horizontal="center" vertical="center" shrinkToFit="1"/>
    </xf>
    <xf numFmtId="0" fontId="1" fillId="0" borderId="388" xfId="0" applyNumberFormat="1" applyFont="1" applyFill="1" applyBorder="1" applyAlignment="1">
      <alignment horizontal="center" vertical="center" shrinkToFit="1"/>
    </xf>
    <xf numFmtId="0" fontId="1" fillId="0" borderId="389" xfId="0" applyNumberFormat="1" applyFont="1" applyFill="1" applyBorder="1" applyAlignment="1">
      <alignment horizontal="center" vertical="center" shrinkToFit="1"/>
    </xf>
    <xf numFmtId="0" fontId="3" fillId="0" borderId="173" xfId="0" applyNumberFormat="1" applyFont="1" applyFill="1" applyBorder="1" applyAlignment="1">
      <alignment horizontal="center" vertical="center" shrinkToFit="1"/>
    </xf>
    <xf numFmtId="0" fontId="3" fillId="0" borderId="174" xfId="0" applyNumberFormat="1" applyFont="1" applyFill="1" applyBorder="1" applyAlignment="1">
      <alignment horizontal="center" vertical="center" shrinkToFit="1"/>
    </xf>
    <xf numFmtId="0" fontId="3" fillId="0" borderId="312" xfId="0" applyNumberFormat="1" applyFont="1" applyFill="1" applyBorder="1" applyAlignment="1">
      <alignment horizontal="center" vertical="center" shrinkToFit="1"/>
    </xf>
    <xf numFmtId="0" fontId="3" fillId="0" borderId="313" xfId="0" applyNumberFormat="1" applyFont="1" applyFill="1" applyBorder="1" applyAlignment="1">
      <alignment horizontal="center" vertical="center" shrinkToFit="1"/>
    </xf>
    <xf numFmtId="0" fontId="1" fillId="7" borderId="255" xfId="0" applyNumberFormat="1" applyFont="1" applyFill="1" applyBorder="1" applyAlignment="1" applyProtection="1">
      <alignment horizontal="center" vertical="center" shrinkToFit="1"/>
    </xf>
    <xf numFmtId="0" fontId="1" fillId="7" borderId="260" xfId="0" applyNumberFormat="1" applyFont="1" applyFill="1" applyBorder="1" applyAlignment="1" applyProtection="1">
      <alignment horizontal="center" vertical="center" shrinkToFit="1"/>
    </xf>
    <xf numFmtId="0" fontId="7" fillId="4" borderId="314" xfId="0" applyNumberFormat="1" applyFont="1" applyFill="1" applyBorder="1" applyAlignment="1">
      <alignment horizontal="center" vertical="center" shrinkToFit="1"/>
    </xf>
    <xf numFmtId="0" fontId="7" fillId="4" borderId="315" xfId="0" applyNumberFormat="1" applyFont="1" applyFill="1" applyBorder="1" applyAlignment="1">
      <alignment horizontal="center" vertical="center" shrinkToFit="1"/>
    </xf>
    <xf numFmtId="0" fontId="1" fillId="4" borderId="398" xfId="0" applyNumberFormat="1" applyFont="1" applyFill="1" applyBorder="1" applyAlignment="1">
      <alignment horizontal="center" vertical="center" shrinkToFit="1"/>
    </xf>
    <xf numFmtId="0" fontId="1" fillId="4" borderId="226" xfId="0" applyNumberFormat="1" applyFont="1" applyFill="1" applyBorder="1" applyAlignment="1">
      <alignment horizontal="center" vertical="center" shrinkToFit="1"/>
    </xf>
    <xf numFmtId="0" fontId="1" fillId="4" borderId="335" xfId="0" applyNumberFormat="1" applyFont="1" applyFill="1" applyBorder="1" applyAlignment="1">
      <alignment horizontal="center" vertical="center" wrapText="1"/>
    </xf>
    <xf numFmtId="0" fontId="31" fillId="4" borderId="173" xfId="0" applyNumberFormat="1" applyFont="1" applyFill="1" applyBorder="1" applyAlignment="1">
      <alignment horizontal="center" vertical="center" shrinkToFit="1"/>
    </xf>
    <xf numFmtId="0" fontId="31" fillId="4" borderId="174" xfId="0" applyNumberFormat="1" applyFont="1" applyFill="1" applyBorder="1" applyAlignment="1">
      <alignment horizontal="center" vertical="center" shrinkToFit="1"/>
    </xf>
    <xf numFmtId="0" fontId="1" fillId="4" borderId="377" xfId="0" applyNumberFormat="1" applyFont="1" applyFill="1" applyBorder="1" applyAlignment="1">
      <alignment horizontal="center" vertical="center" shrinkToFit="1"/>
    </xf>
    <xf numFmtId="0" fontId="1" fillId="4" borderId="231" xfId="0" applyNumberFormat="1" applyFont="1" applyFill="1" applyBorder="1" applyAlignment="1">
      <alignment horizontal="center" vertical="center" shrinkToFit="1"/>
    </xf>
    <xf numFmtId="0" fontId="1" fillId="4" borderId="331" xfId="0" applyNumberFormat="1" applyFont="1" applyFill="1" applyBorder="1" applyAlignment="1">
      <alignment horizontal="center" vertical="center" shrinkToFit="1"/>
    </xf>
    <xf numFmtId="0" fontId="20" fillId="0" borderId="173" xfId="0" applyNumberFormat="1" applyFont="1" applyFill="1" applyBorder="1" applyAlignment="1" applyProtection="1">
      <alignment horizontal="center" vertical="center"/>
    </xf>
    <xf numFmtId="0" fontId="20" fillId="0" borderId="174" xfId="0" applyNumberFormat="1" applyFont="1" applyFill="1" applyBorder="1" applyAlignment="1" applyProtection="1">
      <alignment horizontal="center" vertical="center"/>
    </xf>
    <xf numFmtId="0" fontId="1" fillId="0" borderId="325" xfId="0" applyNumberFormat="1" applyFont="1" applyFill="1" applyBorder="1" applyAlignment="1" applyProtection="1">
      <alignment horizontal="center" vertical="center" shrinkToFit="1"/>
    </xf>
    <xf numFmtId="0" fontId="1" fillId="0" borderId="231" xfId="0" applyNumberFormat="1" applyFont="1" applyFill="1" applyBorder="1" applyAlignment="1" applyProtection="1">
      <alignment horizontal="center" vertical="center" shrinkToFit="1"/>
    </xf>
    <xf numFmtId="0" fontId="1" fillId="0" borderId="73" xfId="0" applyNumberFormat="1" applyFont="1" applyFill="1" applyBorder="1" applyAlignment="1" applyProtection="1">
      <alignment horizontal="center" vertical="center" shrinkToFit="1"/>
    </xf>
    <xf numFmtId="0" fontId="33" fillId="0" borderId="266" xfId="0" applyNumberFormat="1" applyFont="1" applyFill="1" applyBorder="1" applyAlignment="1" applyProtection="1">
      <alignment horizontal="center" vertical="center" shrinkToFit="1"/>
    </xf>
    <xf numFmtId="0" fontId="33" fillId="0" borderId="201" xfId="0" applyNumberFormat="1" applyFont="1" applyFill="1" applyBorder="1" applyAlignment="1" applyProtection="1">
      <alignment horizontal="center" vertical="center" shrinkToFit="1"/>
    </xf>
    <xf numFmtId="0" fontId="33" fillId="0" borderId="44" xfId="0" applyNumberFormat="1" applyFont="1" applyFill="1" applyBorder="1" applyAlignment="1" applyProtection="1">
      <alignment horizontal="center" vertical="center" shrinkToFit="1"/>
    </xf>
    <xf numFmtId="0" fontId="3" fillId="0" borderId="334" xfId="0" applyNumberFormat="1" applyFont="1" applyFill="1" applyBorder="1" applyAlignment="1" applyProtection="1">
      <alignment horizontal="center" vertical="center" shrinkToFit="1"/>
    </xf>
    <xf numFmtId="0" fontId="3" fillId="0" borderId="323" xfId="0" applyNumberFormat="1" applyFont="1" applyFill="1" applyBorder="1" applyAlignment="1" applyProtection="1">
      <alignment horizontal="center" vertical="center" shrinkToFit="1"/>
    </xf>
    <xf numFmtId="0" fontId="3" fillId="0" borderId="273" xfId="0" applyNumberFormat="1" applyFont="1" applyFill="1" applyBorder="1" applyAlignment="1" applyProtection="1">
      <alignment horizontal="center" vertical="center" shrinkToFit="1"/>
    </xf>
    <xf numFmtId="0" fontId="3" fillId="0" borderId="173" xfId="0" applyNumberFormat="1" applyFont="1" applyFill="1" applyBorder="1" applyAlignment="1" applyProtection="1">
      <alignment horizontal="center" vertical="center" shrinkToFit="1"/>
    </xf>
    <xf numFmtId="0" fontId="3" fillId="0" borderId="174" xfId="0" applyNumberFormat="1" applyFont="1" applyFill="1" applyBorder="1" applyAlignment="1" applyProtection="1">
      <alignment horizontal="center" vertical="center" shrinkToFit="1"/>
    </xf>
    <xf numFmtId="0" fontId="7" fillId="0" borderId="173" xfId="0" applyNumberFormat="1" applyFont="1" applyFill="1" applyBorder="1" applyAlignment="1" applyProtection="1">
      <alignment horizontal="center" vertical="center" wrapText="1"/>
    </xf>
    <xf numFmtId="0" fontId="7" fillId="0" borderId="174" xfId="0" applyNumberFormat="1" applyFont="1" applyFill="1" applyBorder="1" applyAlignment="1" applyProtection="1">
      <alignment horizontal="center" vertical="center" wrapText="1"/>
    </xf>
    <xf numFmtId="0" fontId="31" fillId="4" borderId="266" xfId="0" applyNumberFormat="1" applyFont="1" applyFill="1" applyBorder="1" applyAlignment="1">
      <alignment horizontal="center" vertical="center" shrinkToFit="1"/>
    </xf>
    <xf numFmtId="0" fontId="3" fillId="3" borderId="170" xfId="0" applyNumberFormat="1" applyFont="1" applyFill="1" applyBorder="1" applyAlignment="1" applyProtection="1">
      <alignment horizontal="center" vertical="center" shrinkToFit="1"/>
    </xf>
    <xf numFmtId="0" fontId="3" fillId="3" borderId="334" xfId="0" applyNumberFormat="1" applyFont="1" applyFill="1" applyBorder="1" applyAlignment="1" applyProtection="1">
      <alignment horizontal="center" vertical="center" shrinkToFit="1"/>
    </xf>
    <xf numFmtId="0" fontId="7" fillId="3" borderId="173" xfId="0" applyNumberFormat="1" applyFont="1" applyFill="1" applyBorder="1" applyAlignment="1" applyProtection="1">
      <alignment horizontal="center" vertical="center" shrinkToFit="1"/>
    </xf>
    <xf numFmtId="0" fontId="7" fillId="3" borderId="266" xfId="0" applyNumberFormat="1" applyFont="1" applyFill="1" applyBorder="1" applyAlignment="1" applyProtection="1">
      <alignment horizontal="center" vertical="center" shrinkToFit="1"/>
    </xf>
    <xf numFmtId="0" fontId="7" fillId="0" borderId="170" xfId="0" applyNumberFormat="1" applyFont="1" applyFill="1" applyBorder="1" applyAlignment="1" applyProtection="1">
      <alignment horizontal="center" vertical="center" wrapText="1"/>
    </xf>
    <xf numFmtId="0" fontId="7" fillId="0" borderId="171" xfId="0" applyNumberFormat="1" applyFont="1" applyFill="1" applyBorder="1" applyAlignment="1" applyProtection="1">
      <alignment horizontal="center" vertical="center" wrapText="1"/>
    </xf>
    <xf numFmtId="0" fontId="22" fillId="4" borderId="312" xfId="0" applyNumberFormat="1" applyFont="1" applyFill="1" applyBorder="1" applyAlignment="1">
      <alignment horizontal="center" vertical="center" shrinkToFit="1"/>
    </xf>
    <xf numFmtId="0" fontId="13" fillId="4" borderId="312" xfId="0" applyNumberFormat="1" applyFont="1" applyFill="1" applyBorder="1" applyAlignment="1">
      <alignment horizontal="center" vertical="center" shrinkToFit="1"/>
    </xf>
    <xf numFmtId="0" fontId="13" fillId="4" borderId="313" xfId="0" applyNumberFormat="1" applyFont="1" applyFill="1" applyBorder="1" applyAlignment="1">
      <alignment horizontal="center" vertical="center" shrinkToFit="1"/>
    </xf>
    <xf numFmtId="0" fontId="7" fillId="0" borderId="173" xfId="0" applyNumberFormat="1" applyFont="1" applyFill="1" applyBorder="1" applyAlignment="1" applyProtection="1">
      <alignment horizontal="center" vertical="center" shrinkToFit="1"/>
    </xf>
    <xf numFmtId="0" fontId="7" fillId="0" borderId="266" xfId="0" applyNumberFormat="1" applyFont="1" applyFill="1" applyBorder="1" applyAlignment="1" applyProtection="1">
      <alignment horizontal="center" vertical="center" shrinkToFit="1"/>
    </xf>
    <xf numFmtId="0" fontId="5" fillId="0" borderId="170" xfId="0" applyNumberFormat="1" applyFont="1" applyFill="1" applyBorder="1" applyAlignment="1" applyProtection="1">
      <alignment horizontal="center" vertical="center" shrinkToFit="1"/>
    </xf>
    <xf numFmtId="0" fontId="5" fillId="0" borderId="171" xfId="0" applyNumberFormat="1" applyFont="1" applyFill="1" applyBorder="1" applyAlignment="1" applyProtection="1">
      <alignment horizontal="center" vertical="center" shrinkToFit="1"/>
    </xf>
    <xf numFmtId="0" fontId="7" fillId="0" borderId="174" xfId="0" applyNumberFormat="1" applyFont="1" applyFill="1" applyBorder="1" applyAlignment="1" applyProtection="1">
      <alignment horizontal="center" vertical="center" shrinkToFit="1"/>
    </xf>
    <xf numFmtId="0" fontId="13" fillId="0" borderId="266" xfId="0" applyNumberFormat="1" applyFont="1" applyFill="1" applyBorder="1" applyAlignment="1" applyProtection="1">
      <alignment horizontal="center" vertical="center" shrinkToFit="1"/>
    </xf>
    <xf numFmtId="0" fontId="13" fillId="0" borderId="201" xfId="0" applyNumberFormat="1" applyFont="1" applyFill="1" applyBorder="1" applyAlignment="1" applyProtection="1">
      <alignment vertical="center"/>
    </xf>
    <xf numFmtId="0" fontId="13" fillId="0" borderId="44" xfId="0" applyNumberFormat="1" applyFont="1" applyFill="1" applyBorder="1" applyAlignment="1" applyProtection="1">
      <alignment vertical="center"/>
    </xf>
    <xf numFmtId="0" fontId="70" fillId="0" borderId="333" xfId="0" applyNumberFormat="1" applyFont="1" applyFill="1" applyBorder="1" applyAlignment="1" applyProtection="1">
      <alignment horizontal="center" vertical="center" shrinkToFit="1"/>
    </xf>
    <xf numFmtId="0" fontId="70" fillId="0" borderId="320" xfId="0" applyNumberFormat="1" applyFont="1" applyFill="1" applyBorder="1" applyAlignment="1" applyProtection="1">
      <alignment horizontal="center" vertical="center" shrinkToFit="1"/>
    </xf>
    <xf numFmtId="0" fontId="70" fillId="0" borderId="213" xfId="0" applyNumberFormat="1" applyFont="1" applyFill="1" applyBorder="1" applyAlignment="1" applyProtection="1">
      <alignment horizontal="center" vertical="center" shrinkToFit="1"/>
    </xf>
    <xf numFmtId="0" fontId="70" fillId="0" borderId="102" xfId="0" applyNumberFormat="1" applyFont="1" applyFill="1" applyBorder="1" applyAlignment="1" applyProtection="1">
      <alignment horizontal="center" vertical="center" shrinkToFit="1"/>
    </xf>
    <xf numFmtId="0" fontId="70" fillId="0" borderId="0" xfId="0" applyNumberFormat="1" applyFont="1" applyFill="1" applyBorder="1" applyAlignment="1" applyProtection="1">
      <alignment horizontal="center" vertical="center" shrinkToFit="1"/>
    </xf>
    <xf numFmtId="0" fontId="70" fillId="0" borderId="40" xfId="0" applyNumberFormat="1" applyFont="1" applyFill="1" applyBorder="1" applyAlignment="1" applyProtection="1">
      <alignment horizontal="center" vertical="center" shrinkToFit="1"/>
    </xf>
    <xf numFmtId="0" fontId="70" fillId="0" borderId="332" xfId="0" applyNumberFormat="1" applyFont="1" applyFill="1" applyBorder="1" applyAlignment="1" applyProtection="1">
      <alignment horizontal="center" vertical="center" shrinkToFit="1"/>
    </xf>
    <xf numFmtId="0" fontId="70" fillId="0" borderId="262" xfId="0" applyNumberFormat="1" applyFont="1" applyFill="1" applyBorder="1" applyAlignment="1" applyProtection="1">
      <alignment horizontal="center" vertical="center" shrinkToFit="1"/>
    </xf>
    <xf numFmtId="0" fontId="70" fillId="0" borderId="263" xfId="0" applyNumberFormat="1" applyFont="1" applyFill="1" applyBorder="1" applyAlignment="1" applyProtection="1">
      <alignment horizontal="center" vertical="center" shrinkToFit="1"/>
    </xf>
    <xf numFmtId="0" fontId="7" fillId="0" borderId="332" xfId="0" applyNumberFormat="1" applyFont="1" applyFill="1" applyBorder="1" applyAlignment="1" applyProtection="1">
      <alignment horizontal="center" vertical="center" shrinkToFit="1"/>
    </xf>
    <xf numFmtId="0" fontId="7" fillId="0" borderId="262" xfId="0" applyNumberFormat="1" applyFont="1" applyFill="1" applyBorder="1" applyAlignment="1" applyProtection="1">
      <alignment horizontal="center" vertical="center" shrinkToFit="1"/>
    </xf>
    <xf numFmtId="0" fontId="7" fillId="0" borderId="263" xfId="0" applyNumberFormat="1" applyFont="1" applyFill="1" applyBorder="1" applyAlignment="1" applyProtection="1">
      <alignment horizontal="center" vertical="center" shrinkToFit="1"/>
    </xf>
    <xf numFmtId="0" fontId="38" fillId="0" borderId="334" xfId="0" applyNumberFormat="1" applyFont="1" applyFill="1" applyBorder="1" applyAlignment="1" applyProtection="1">
      <alignment horizontal="center" vertical="center"/>
    </xf>
    <xf numFmtId="0" fontId="38" fillId="0" borderId="323" xfId="0" applyNumberFormat="1" applyFont="1" applyFill="1" applyBorder="1" applyAlignment="1" applyProtection="1">
      <alignment horizontal="center" vertical="center"/>
    </xf>
    <xf numFmtId="0" fontId="38" fillId="0" borderId="273" xfId="0" applyNumberFormat="1" applyFont="1" applyFill="1" applyBorder="1" applyAlignment="1" applyProtection="1">
      <alignment horizontal="center" vertical="center"/>
    </xf>
    <xf numFmtId="0" fontId="3" fillId="3" borderId="314" xfId="0" applyNumberFormat="1" applyFont="1" applyFill="1" applyBorder="1" applyAlignment="1" applyProtection="1">
      <alignment horizontal="center" vertical="center" shrinkToFit="1"/>
    </xf>
    <xf numFmtId="0" fontId="3" fillId="3" borderId="332" xfId="0" applyNumberFormat="1" applyFont="1" applyFill="1" applyBorder="1" applyAlignment="1" applyProtection="1">
      <alignment horizontal="center" vertical="center" shrinkToFit="1"/>
    </xf>
    <xf numFmtId="0" fontId="9" fillId="3" borderId="173" xfId="0" applyNumberFormat="1" applyFont="1" applyFill="1" applyBorder="1" applyAlignment="1" applyProtection="1">
      <alignment horizontal="center" vertical="center" shrinkToFit="1"/>
    </xf>
    <xf numFmtId="0" fontId="9" fillId="3" borderId="266" xfId="0" applyNumberFormat="1" applyFont="1" applyFill="1" applyBorder="1" applyAlignment="1" applyProtection="1">
      <alignment horizontal="center" vertical="center" shrinkToFit="1"/>
    </xf>
    <xf numFmtId="0" fontId="31" fillId="3" borderId="173" xfId="0" applyNumberFormat="1" applyFont="1" applyFill="1" applyBorder="1" applyAlignment="1" applyProtection="1">
      <alignment horizontal="center" vertical="center" shrinkToFit="1"/>
    </xf>
    <xf numFmtId="0" fontId="31" fillId="3" borderId="266" xfId="0" applyNumberFormat="1" applyFont="1" applyFill="1" applyBorder="1" applyAlignment="1" applyProtection="1">
      <alignment horizontal="center" vertical="center" shrinkToFit="1"/>
    </xf>
    <xf numFmtId="0" fontId="26" fillId="7" borderId="266" xfId="0" applyNumberFormat="1" applyFont="1" applyFill="1" applyBorder="1" applyAlignment="1" applyProtection="1">
      <alignment horizontal="center" vertical="center" shrinkToFit="1"/>
    </xf>
    <xf numFmtId="0" fontId="26" fillId="7" borderId="201" xfId="0" applyNumberFormat="1" applyFont="1" applyFill="1" applyBorder="1" applyAlignment="1" applyProtection="1">
      <alignment vertical="center"/>
    </xf>
    <xf numFmtId="0" fontId="26" fillId="7" borderId="44" xfId="0" applyNumberFormat="1" applyFont="1" applyFill="1" applyBorder="1" applyAlignment="1" applyProtection="1">
      <alignment vertical="center"/>
    </xf>
    <xf numFmtId="0" fontId="0" fillId="0" borderId="334" xfId="0" applyNumberFormat="1" applyFont="1" applyFill="1" applyBorder="1" applyAlignment="1" applyProtection="1">
      <alignment horizontal="center" vertical="center"/>
    </xf>
    <xf numFmtId="0" fontId="0" fillId="0" borderId="323" xfId="0" applyNumberFormat="1" applyFont="1" applyFill="1" applyBorder="1" applyAlignment="1" applyProtection="1">
      <alignment horizontal="center" vertical="center"/>
    </xf>
    <xf numFmtId="0" fontId="0" fillId="0" borderId="273" xfId="0" applyNumberFormat="1" applyFont="1" applyFill="1" applyBorder="1" applyAlignment="1" applyProtection="1">
      <alignment horizontal="center" vertical="center"/>
    </xf>
    <xf numFmtId="0" fontId="20" fillId="0" borderId="332" xfId="0" applyNumberFormat="1" applyFont="1" applyFill="1" applyBorder="1" applyAlignment="1" applyProtection="1">
      <alignment horizontal="center" vertical="center" shrinkToFit="1"/>
    </xf>
    <xf numFmtId="0" fontId="20" fillId="0" borderId="262" xfId="0" applyNumberFormat="1" applyFont="1" applyFill="1" applyBorder="1" applyAlignment="1" applyProtection="1">
      <alignment horizontal="center" vertical="center" shrinkToFit="1"/>
    </xf>
    <xf numFmtId="0" fontId="20" fillId="0" borderId="263" xfId="0" applyNumberFormat="1" applyFont="1" applyFill="1" applyBorder="1" applyAlignment="1" applyProtection="1">
      <alignment horizontal="center" vertical="center" shrinkToFit="1"/>
    </xf>
    <xf numFmtId="0" fontId="20" fillId="0" borderId="266" xfId="0" applyNumberFormat="1" applyFont="1" applyFill="1" applyBorder="1" applyAlignment="1" applyProtection="1">
      <alignment horizontal="center" vertical="center" wrapText="1"/>
    </xf>
    <xf numFmtId="0" fontId="20" fillId="0" borderId="201" xfId="0" applyNumberFormat="1" applyFont="1" applyFill="1" applyBorder="1" applyAlignment="1" applyProtection="1">
      <alignment horizontal="center" vertical="center" wrapText="1"/>
    </xf>
    <xf numFmtId="0" fontId="20" fillId="0" borderId="44" xfId="0" applyNumberFormat="1" applyFont="1" applyFill="1" applyBorder="1" applyAlignment="1" applyProtection="1">
      <alignment horizontal="center" vertical="center" wrapText="1"/>
    </xf>
    <xf numFmtId="0" fontId="3" fillId="7" borderId="332" xfId="0" applyNumberFormat="1" applyFont="1" applyFill="1" applyBorder="1" applyAlignment="1" applyProtection="1">
      <alignment horizontal="center" vertical="center" shrinkToFit="1"/>
    </xf>
    <xf numFmtId="0" fontId="3" fillId="7" borderId="262" xfId="0" applyNumberFormat="1" applyFont="1" applyFill="1" applyBorder="1" applyAlignment="1" applyProtection="1">
      <alignment horizontal="center" vertical="center" shrinkToFit="1"/>
    </xf>
    <xf numFmtId="0" fontId="3" fillId="7" borderId="263" xfId="0" applyNumberFormat="1" applyFont="1" applyFill="1" applyBorder="1" applyAlignment="1" applyProtection="1">
      <alignment horizontal="center" vertical="center" shrinkToFit="1"/>
    </xf>
    <xf numFmtId="0" fontId="3" fillId="7" borderId="390" xfId="0" applyNumberFormat="1" applyFont="1" applyFill="1" applyBorder="1" applyAlignment="1" applyProtection="1">
      <alignment horizontal="center" vertical="center" shrinkToFit="1"/>
    </xf>
    <xf numFmtId="0" fontId="3" fillId="7" borderId="147" xfId="0" applyNumberFormat="1" applyFont="1" applyFill="1" applyBorder="1" applyAlignment="1" applyProtection="1">
      <alignment horizontal="center" vertical="center" shrinkToFit="1"/>
    </xf>
    <xf numFmtId="0" fontId="3" fillId="7" borderId="387" xfId="0" applyNumberFormat="1" applyFont="1" applyFill="1" applyBorder="1" applyAlignment="1" applyProtection="1">
      <alignment horizontal="center" vertical="center" shrinkToFit="1"/>
    </xf>
    <xf numFmtId="0" fontId="86" fillId="4" borderId="471" xfId="0" applyNumberFormat="1" applyFont="1" applyFill="1" applyBorder="1" applyAlignment="1" applyProtection="1">
      <alignment horizontal="center" vertical="center" shrinkToFit="1"/>
    </xf>
    <xf numFmtId="0" fontId="86" fillId="4" borderId="426" xfId="0" applyNumberFormat="1" applyFont="1" applyFill="1" applyBorder="1" applyAlignment="1" applyProtection="1">
      <alignment horizontal="center" vertical="center" shrinkToFit="1"/>
    </xf>
    <xf numFmtId="0" fontId="86" fillId="4" borderId="314" xfId="0" applyNumberFormat="1" applyFont="1" applyFill="1" applyBorder="1" applyAlignment="1" applyProtection="1">
      <alignment horizontal="center" vertical="center" shrinkToFit="1"/>
    </xf>
    <xf numFmtId="0" fontId="7" fillId="0" borderId="266" xfId="0" applyNumberFormat="1" applyFont="1" applyFill="1" applyBorder="1" applyAlignment="1" applyProtection="1">
      <alignment horizontal="center" vertical="center"/>
    </xf>
    <xf numFmtId="0" fontId="7" fillId="0" borderId="201" xfId="0" applyNumberFormat="1" applyFont="1" applyFill="1" applyBorder="1" applyAlignment="1" applyProtection="1">
      <alignment horizontal="center" vertical="center"/>
    </xf>
    <xf numFmtId="0" fontId="7" fillId="0" borderId="44" xfId="0" applyNumberFormat="1" applyFont="1" applyFill="1" applyBorder="1" applyAlignment="1" applyProtection="1">
      <alignment horizontal="center" vertical="center"/>
    </xf>
    <xf numFmtId="0" fontId="0" fillId="0" borderId="332" xfId="0" applyNumberFormat="1" applyFont="1" applyFill="1" applyBorder="1" applyAlignment="1" applyProtection="1">
      <alignment horizontal="center" vertical="center"/>
    </xf>
    <xf numFmtId="0" fontId="0" fillId="0" borderId="262" xfId="0" applyNumberFormat="1" applyFont="1" applyFill="1" applyBorder="1" applyAlignment="1" applyProtection="1">
      <alignment horizontal="center" vertical="center"/>
    </xf>
    <xf numFmtId="0" fontId="0" fillId="0" borderId="263" xfId="0" applyNumberFormat="1" applyFont="1" applyFill="1" applyBorder="1" applyAlignment="1" applyProtection="1">
      <alignment horizontal="center" vertical="center"/>
    </xf>
    <xf numFmtId="0" fontId="20" fillId="0" borderId="266" xfId="0" applyNumberFormat="1" applyFont="1" applyFill="1" applyBorder="1" applyAlignment="1" applyProtection="1">
      <alignment horizontal="center" vertical="center" shrinkToFit="1"/>
    </xf>
    <xf numFmtId="0" fontId="20" fillId="0" borderId="201" xfId="0" applyNumberFormat="1" applyFont="1" applyFill="1" applyBorder="1" applyAlignment="1" applyProtection="1">
      <alignment horizontal="center" vertical="center" shrinkToFit="1"/>
    </xf>
    <xf numFmtId="0" fontId="20" fillId="0" borderId="44" xfId="0" applyNumberFormat="1" applyFont="1" applyFill="1" applyBorder="1" applyAlignment="1" applyProtection="1">
      <alignment horizontal="center" vertical="center" shrinkToFit="1"/>
    </xf>
    <xf numFmtId="0" fontId="25" fillId="0" borderId="266" xfId="0" applyNumberFormat="1" applyFont="1" applyFill="1" applyBorder="1" applyAlignment="1" applyProtection="1">
      <alignment horizontal="center" vertical="center" shrinkToFit="1"/>
    </xf>
    <xf numFmtId="0" fontId="25" fillId="0" borderId="201" xfId="0" applyNumberFormat="1" applyFont="1" applyFill="1" applyBorder="1" applyAlignment="1" applyProtection="1">
      <alignment horizontal="center" vertical="center" shrinkToFit="1"/>
    </xf>
    <xf numFmtId="0" fontId="25" fillId="0" borderId="44" xfId="0" applyNumberFormat="1" applyFont="1" applyFill="1" applyBorder="1" applyAlignment="1" applyProtection="1">
      <alignment horizontal="center" vertical="center" shrinkToFit="1"/>
    </xf>
    <xf numFmtId="0" fontId="25" fillId="0" borderId="266" xfId="0" applyNumberFormat="1" applyFont="1" applyFill="1" applyBorder="1" applyAlignment="1" applyProtection="1">
      <alignment horizontal="center" vertical="center"/>
    </xf>
    <xf numFmtId="0" fontId="25" fillId="0" borderId="201" xfId="0" applyNumberFormat="1" applyFont="1" applyFill="1" applyBorder="1" applyAlignment="1" applyProtection="1">
      <alignment horizontal="center" vertical="center"/>
    </xf>
    <xf numFmtId="0" fontId="25" fillId="0" borderId="44" xfId="0" applyNumberFormat="1" applyFont="1" applyFill="1" applyBorder="1" applyAlignment="1" applyProtection="1">
      <alignment horizontal="center" vertical="center"/>
    </xf>
    <xf numFmtId="0" fontId="1" fillId="3" borderId="330" xfId="0" applyNumberFormat="1" applyFont="1" applyFill="1" applyBorder="1" applyAlignment="1" applyProtection="1">
      <alignment horizontal="center" vertical="center" shrinkToFit="1"/>
    </xf>
    <xf numFmtId="0" fontId="1" fillId="3" borderId="226" xfId="0" applyNumberFormat="1" applyFont="1" applyFill="1" applyBorder="1" applyAlignment="1" applyProtection="1">
      <alignment horizontal="center" vertical="center" shrinkToFit="1"/>
    </xf>
    <xf numFmtId="0" fontId="1" fillId="3" borderId="227" xfId="0" applyNumberFormat="1" applyFont="1" applyFill="1" applyBorder="1" applyAlignment="1" applyProtection="1">
      <alignment horizontal="center" vertical="center" shrinkToFit="1"/>
    </xf>
    <xf numFmtId="0" fontId="9" fillId="4" borderId="173" xfId="0" applyNumberFormat="1" applyFont="1" applyFill="1" applyBorder="1" applyAlignment="1" applyProtection="1">
      <alignment horizontal="center" vertical="center" shrinkToFit="1"/>
    </xf>
    <xf numFmtId="0" fontId="9" fillId="4" borderId="174" xfId="0" applyNumberFormat="1" applyFont="1" applyFill="1" applyBorder="1" applyAlignment="1" applyProtection="1">
      <alignment horizontal="center" vertical="center" shrinkToFit="1"/>
    </xf>
    <xf numFmtId="0" fontId="13" fillId="0" borderId="390" xfId="0" applyNumberFormat="1" applyFont="1" applyFill="1" applyBorder="1" applyAlignment="1" applyProtection="1">
      <alignment horizontal="center" vertical="center" wrapText="1" shrinkToFit="1"/>
    </xf>
    <xf numFmtId="0" fontId="13" fillId="0" borderId="147" xfId="0" applyNumberFormat="1" applyFont="1" applyFill="1" applyBorder="1" applyAlignment="1" applyProtection="1">
      <alignment horizontal="center" vertical="center" wrapText="1" shrinkToFit="1"/>
    </xf>
    <xf numFmtId="0" fontId="13" fillId="0" borderId="387" xfId="0" applyNumberFormat="1" applyFont="1" applyFill="1" applyBorder="1" applyAlignment="1" applyProtection="1">
      <alignment horizontal="center" vertical="center" wrapText="1" shrinkToFit="1"/>
    </xf>
    <xf numFmtId="0" fontId="13" fillId="0" borderId="332" xfId="0" applyNumberFormat="1" applyFont="1" applyFill="1" applyBorder="1" applyAlignment="1" applyProtection="1">
      <alignment horizontal="center" vertical="center" wrapText="1" shrinkToFit="1"/>
    </xf>
    <xf numFmtId="0" fontId="13" fillId="0" borderId="262" xfId="0" applyNumberFormat="1" applyFont="1" applyFill="1" applyBorder="1" applyAlignment="1" applyProtection="1">
      <alignment horizontal="center" vertical="center" wrapText="1" shrinkToFit="1"/>
    </xf>
    <xf numFmtId="0" fontId="13" fillId="0" borderId="263" xfId="0" applyNumberFormat="1" applyFont="1" applyFill="1" applyBorder="1" applyAlignment="1" applyProtection="1">
      <alignment horizontal="center" vertical="center" wrapText="1" shrinkToFit="1"/>
    </xf>
    <xf numFmtId="0" fontId="1" fillId="0" borderId="192" xfId="0" applyNumberFormat="1" applyFont="1" applyFill="1" applyBorder="1" applyAlignment="1" applyProtection="1">
      <alignment horizontal="center" vertical="center" shrinkToFit="1"/>
    </xf>
    <xf numFmtId="0" fontId="1" fillId="0" borderId="193" xfId="0" applyNumberFormat="1" applyFont="1" applyFill="1" applyBorder="1" applyAlignment="1" applyProtection="1">
      <alignment horizontal="center" vertical="center" shrinkToFit="1"/>
    </xf>
    <xf numFmtId="0" fontId="1" fillId="3" borderId="0" xfId="0" applyNumberFormat="1" applyFont="1" applyFill="1" applyBorder="1" applyAlignment="1" applyProtection="1">
      <alignment horizontal="center" vertical="center" shrinkToFit="1"/>
    </xf>
    <xf numFmtId="0" fontId="1" fillId="3" borderId="188" xfId="0" applyNumberFormat="1" applyFont="1" applyFill="1" applyBorder="1" applyAlignment="1" applyProtection="1">
      <alignment horizontal="center" vertical="center" shrinkToFit="1"/>
    </xf>
    <xf numFmtId="0" fontId="31" fillId="4" borderId="173" xfId="0" applyNumberFormat="1" applyFont="1" applyFill="1" applyBorder="1" applyAlignment="1" applyProtection="1">
      <alignment horizontal="center" vertical="center" shrinkToFit="1"/>
    </xf>
    <xf numFmtId="0" fontId="31" fillId="4" borderId="174" xfId="0" applyNumberFormat="1" applyFont="1" applyFill="1" applyBorder="1" applyAlignment="1" applyProtection="1">
      <alignment horizontal="center" vertical="center" shrinkToFit="1"/>
    </xf>
    <xf numFmtId="0" fontId="3" fillId="0" borderId="314" xfId="0" applyNumberFormat="1" applyFont="1" applyFill="1" applyBorder="1" applyAlignment="1" applyProtection="1">
      <alignment horizontal="center" vertical="center" shrinkToFit="1"/>
    </xf>
    <xf numFmtId="0" fontId="3" fillId="0" borderId="332" xfId="0" applyNumberFormat="1" applyFont="1" applyFill="1" applyBorder="1" applyAlignment="1" applyProtection="1">
      <alignment horizontal="center" vertical="center" shrinkToFit="1"/>
    </xf>
    <xf numFmtId="0" fontId="1" fillId="0" borderId="254" xfId="0" applyNumberFormat="1" applyFont="1" applyFill="1" applyBorder="1" applyAlignment="1" applyProtection="1">
      <alignment horizontal="center" vertical="center" shrinkToFit="1"/>
    </xf>
    <xf numFmtId="0" fontId="1" fillId="0" borderId="255" xfId="0" applyNumberFormat="1" applyFont="1" applyFill="1" applyBorder="1" applyAlignment="1" applyProtection="1">
      <alignment horizontal="center" vertical="center" shrinkToFit="1"/>
    </xf>
    <xf numFmtId="0" fontId="9" fillId="0" borderId="266" xfId="0" applyNumberFormat="1" applyFont="1" applyFill="1" applyBorder="1" applyAlignment="1" applyProtection="1">
      <alignment horizontal="center" vertical="center" shrinkToFit="1"/>
    </xf>
    <xf numFmtId="0" fontId="9" fillId="0" borderId="201" xfId="0" applyNumberFormat="1" applyFont="1" applyFill="1" applyBorder="1" applyAlignment="1" applyProtection="1">
      <alignment horizontal="center" vertical="center" shrinkToFit="1"/>
    </xf>
    <xf numFmtId="0" fontId="9" fillId="0" borderId="44" xfId="0" applyNumberFormat="1" applyFont="1" applyFill="1" applyBorder="1" applyAlignment="1" applyProtection="1">
      <alignment horizontal="center" vertical="center" shrinkToFit="1"/>
    </xf>
    <xf numFmtId="0" fontId="3" fillId="0" borderId="266" xfId="0" applyNumberFormat="1" applyFont="1" applyFill="1" applyBorder="1" applyAlignment="1" applyProtection="1">
      <alignment horizontal="center" vertical="center" shrinkToFit="1"/>
    </xf>
    <xf numFmtId="0" fontId="3" fillId="0" borderId="201" xfId="0" applyNumberFormat="1" applyFont="1" applyFill="1" applyBorder="1" applyAlignment="1" applyProtection="1">
      <alignment horizontal="center" vertical="center" shrinkToFit="1"/>
    </xf>
    <xf numFmtId="0" fontId="3" fillId="0" borderId="44" xfId="0" applyNumberFormat="1" applyFont="1" applyFill="1" applyBorder="1" applyAlignment="1" applyProtection="1">
      <alignment horizontal="center" vertical="center" shrinkToFit="1"/>
    </xf>
    <xf numFmtId="0" fontId="1" fillId="4" borderId="254" xfId="0" applyNumberFormat="1" applyFont="1" applyFill="1" applyBorder="1" applyAlignment="1" applyProtection="1">
      <alignment horizontal="center" vertical="center" shrinkToFit="1"/>
    </xf>
    <xf numFmtId="0" fontId="1" fillId="4" borderId="255" xfId="0" applyNumberFormat="1" applyFont="1" applyFill="1" applyBorder="1" applyAlignment="1" applyProtection="1">
      <alignment horizontal="center" vertical="center" shrinkToFit="1"/>
    </xf>
    <xf numFmtId="0" fontId="1" fillId="4" borderId="260" xfId="0" applyNumberFormat="1" applyFont="1" applyFill="1" applyBorder="1" applyAlignment="1" applyProtection="1">
      <alignment horizontal="center" vertical="center" shrinkToFit="1"/>
    </xf>
    <xf numFmtId="0" fontId="36" fillId="10" borderId="144" xfId="0" applyNumberFormat="1" applyFont="1" applyFill="1" applyBorder="1" applyAlignment="1" applyProtection="1">
      <alignment horizontal="center" vertical="center" shrinkToFit="1"/>
    </xf>
    <xf numFmtId="0" fontId="36" fillId="10" borderId="122" xfId="0" applyNumberFormat="1" applyFont="1" applyFill="1" applyBorder="1" applyAlignment="1" applyProtection="1">
      <alignment horizontal="center" vertical="center" shrinkToFit="1"/>
    </xf>
    <xf numFmtId="0" fontId="36" fillId="10" borderId="123" xfId="0" applyNumberFormat="1" applyFont="1" applyFill="1" applyBorder="1" applyAlignment="1" applyProtection="1">
      <alignment horizontal="center" vertical="center" shrinkToFit="1"/>
    </xf>
    <xf numFmtId="0" fontId="12" fillId="0" borderId="266" xfId="0" applyNumberFormat="1" applyFont="1" applyFill="1" applyBorder="1" applyAlignment="1" applyProtection="1">
      <alignment horizontal="center" vertical="center"/>
    </xf>
    <xf numFmtId="0" fontId="12" fillId="0" borderId="174" xfId="0" applyNumberFormat="1" applyFont="1" applyFill="1" applyBorder="1" applyAlignment="1" applyProtection="1">
      <alignment horizontal="center" vertical="center"/>
    </xf>
    <xf numFmtId="0" fontId="3" fillId="0" borderId="170" xfId="0" applyNumberFormat="1" applyFont="1" applyFill="1" applyBorder="1" applyAlignment="1" applyProtection="1">
      <alignment vertical="center" shrinkToFit="1"/>
    </xf>
    <xf numFmtId="0" fontId="3" fillId="0" borderId="171" xfId="0" applyNumberFormat="1" applyFont="1" applyFill="1" applyBorder="1" applyAlignment="1" applyProtection="1">
      <alignment vertical="center" shrinkToFit="1"/>
    </xf>
    <xf numFmtId="0" fontId="3" fillId="0" borderId="262" xfId="0" applyNumberFormat="1" applyFont="1" applyFill="1" applyBorder="1" applyAlignment="1" applyProtection="1">
      <alignment horizontal="center" vertical="center" shrinkToFit="1"/>
    </xf>
    <xf numFmtId="0" fontId="3" fillId="0" borderId="263" xfId="0" applyNumberFormat="1" applyFont="1" applyFill="1" applyBorder="1" applyAlignment="1" applyProtection="1">
      <alignment horizontal="center" vertical="center" shrinkToFit="1"/>
    </xf>
    <xf numFmtId="0" fontId="5" fillId="0" borderId="332" xfId="0" applyNumberFormat="1" applyFont="1" applyFill="1" applyBorder="1" applyAlignment="1" applyProtection="1">
      <alignment horizontal="center" vertical="center" shrinkToFit="1"/>
    </xf>
    <xf numFmtId="0" fontId="5" fillId="0" borderId="262" xfId="0" applyNumberFormat="1" applyFont="1" applyFill="1" applyBorder="1" applyAlignment="1" applyProtection="1">
      <alignment horizontal="center" vertical="center" shrinkToFit="1"/>
    </xf>
    <xf numFmtId="0" fontId="5" fillId="0" borderId="263" xfId="0" applyNumberFormat="1" applyFont="1" applyFill="1" applyBorder="1" applyAlignment="1" applyProtection="1">
      <alignment horizontal="center" vertical="center" shrinkToFit="1"/>
    </xf>
    <xf numFmtId="0" fontId="1" fillId="0" borderId="226" xfId="0" quotePrefix="1" applyNumberFormat="1" applyFont="1" applyFill="1" applyBorder="1" applyAlignment="1" applyProtection="1">
      <alignment horizontal="center" vertical="center" shrinkToFit="1"/>
    </xf>
    <xf numFmtId="0" fontId="1" fillId="0" borderId="367" xfId="0" applyNumberFormat="1" applyFont="1" applyFill="1" applyBorder="1" applyAlignment="1" applyProtection="1">
      <alignment horizontal="center" vertical="center" shrinkToFit="1"/>
    </xf>
    <xf numFmtId="0" fontId="7" fillId="0" borderId="102" xfId="0" applyNumberFormat="1" applyFont="1" applyFill="1" applyBorder="1" applyAlignment="1" applyProtection="1">
      <alignment horizontal="center" vertical="center" shrinkToFit="1"/>
    </xf>
    <xf numFmtId="0" fontId="7" fillId="0" borderId="0" xfId="0" applyNumberFormat="1" applyFont="1" applyFill="1" applyBorder="1" applyAlignment="1" applyProtection="1">
      <alignment horizontal="center" vertical="center" shrinkToFit="1"/>
    </xf>
    <xf numFmtId="0" fontId="7" fillId="0" borderId="40" xfId="0" applyNumberFormat="1" applyFont="1" applyFill="1" applyBorder="1" applyAlignment="1" applyProtection="1">
      <alignment horizontal="center" vertical="center" shrinkToFit="1"/>
    </xf>
    <xf numFmtId="0" fontId="1" fillId="4" borderId="320" xfId="0" applyNumberFormat="1" applyFont="1" applyFill="1" applyBorder="1" applyAlignment="1" applyProtection="1">
      <alignment horizontal="center" vertical="center" shrinkToFit="1"/>
    </xf>
    <xf numFmtId="0" fontId="1" fillId="4" borderId="0" xfId="0" applyNumberFormat="1" applyFont="1" applyFill="1" applyBorder="1" applyAlignment="1" applyProtection="1">
      <alignment horizontal="center" vertical="center" shrinkToFit="1"/>
    </xf>
    <xf numFmtId="0" fontId="1" fillId="4" borderId="188" xfId="0" applyNumberFormat="1" applyFont="1" applyFill="1" applyBorder="1" applyAlignment="1" applyProtection="1">
      <alignment horizontal="center" vertical="center" shrinkToFit="1"/>
    </xf>
    <xf numFmtId="0" fontId="3" fillId="4" borderId="170" xfId="0" applyNumberFormat="1" applyFont="1" applyFill="1" applyBorder="1" applyAlignment="1" applyProtection="1">
      <alignment horizontal="center" vertical="center" shrinkToFit="1"/>
    </xf>
    <xf numFmtId="0" fontId="3" fillId="4" borderId="171" xfId="0" applyNumberFormat="1" applyFont="1" applyFill="1" applyBorder="1" applyAlignment="1" applyProtection="1">
      <alignment horizontal="center" vertical="center" shrinkToFit="1"/>
    </xf>
    <xf numFmtId="0" fontId="13" fillId="0" borderId="333" xfId="0" applyNumberFormat="1" applyFont="1" applyFill="1" applyBorder="1" applyAlignment="1" applyProtection="1">
      <alignment horizontal="center" vertical="center" shrinkToFit="1"/>
    </xf>
    <xf numFmtId="0" fontId="13" fillId="0" borderId="320" xfId="0" applyNumberFormat="1" applyFont="1" applyFill="1" applyBorder="1" applyAlignment="1" applyProtection="1">
      <alignment horizontal="center" vertical="center" shrinkToFit="1"/>
    </xf>
    <xf numFmtId="0" fontId="13" fillId="0" borderId="213" xfId="0" applyNumberFormat="1" applyFont="1" applyFill="1" applyBorder="1" applyAlignment="1" applyProtection="1">
      <alignment horizontal="center" vertical="center" shrinkToFit="1"/>
    </xf>
    <xf numFmtId="0" fontId="7" fillId="3" borderId="10" xfId="0" applyNumberFormat="1" applyFont="1" applyFill="1" applyBorder="1" applyAlignment="1" applyProtection="1">
      <alignment horizontal="center" vertical="center" wrapText="1" shrinkToFit="1"/>
    </xf>
    <xf numFmtId="0" fontId="7" fillId="3" borderId="382" xfId="0" applyNumberFormat="1" applyFont="1" applyFill="1" applyBorder="1" applyAlignment="1" applyProtection="1">
      <alignment horizontal="center" vertical="center" wrapText="1" shrinkToFit="1"/>
    </xf>
    <xf numFmtId="0" fontId="7" fillId="0" borderId="170" xfId="0" applyNumberFormat="1" applyFont="1" applyFill="1" applyBorder="1" applyAlignment="1" applyProtection="1">
      <alignment vertical="center" shrinkToFit="1"/>
    </xf>
    <xf numFmtId="0" fontId="7" fillId="0" borderId="171" xfId="0" applyNumberFormat="1" applyFont="1" applyFill="1" applyBorder="1" applyAlignment="1" applyProtection="1">
      <alignment vertical="center" shrinkToFit="1"/>
    </xf>
    <xf numFmtId="0" fontId="7" fillId="0" borderId="314" xfId="0" applyNumberFormat="1" applyFont="1" applyFill="1" applyBorder="1" applyAlignment="1" applyProtection="1">
      <alignment vertical="center" shrinkToFit="1"/>
    </xf>
    <xf numFmtId="0" fontId="7" fillId="0" borderId="315" xfId="0" applyNumberFormat="1" applyFont="1" applyFill="1" applyBorder="1" applyAlignment="1" applyProtection="1">
      <alignment vertical="center" shrinkToFit="1"/>
    </xf>
    <xf numFmtId="0" fontId="13" fillId="0" borderId="334" xfId="0" applyNumberFormat="1" applyFont="1" applyFill="1" applyBorder="1" applyAlignment="1" applyProtection="1">
      <alignment horizontal="center" vertical="center" shrinkToFit="1"/>
    </xf>
    <xf numFmtId="0" fontId="13" fillId="0" borderId="323" xfId="0" applyNumberFormat="1" applyFont="1" applyFill="1" applyBorder="1" applyAlignment="1" applyProtection="1">
      <alignment vertical="center"/>
    </xf>
    <xf numFmtId="0" fontId="13" fillId="0" borderId="273" xfId="0" applyNumberFormat="1" applyFont="1" applyFill="1" applyBorder="1" applyAlignment="1" applyProtection="1">
      <alignment vertical="center"/>
    </xf>
    <xf numFmtId="0" fontId="36" fillId="10" borderId="383" xfId="0" applyNumberFormat="1" applyFont="1" applyFill="1" applyBorder="1" applyAlignment="1" applyProtection="1">
      <alignment horizontal="center" vertical="center" shrinkToFit="1"/>
    </xf>
    <xf numFmtId="0" fontId="1" fillId="0" borderId="417" xfId="0" applyNumberFormat="1" applyFont="1" applyFill="1" applyBorder="1" applyAlignment="1" applyProtection="1">
      <alignment horizontal="center" vertical="center" shrinkToFit="1"/>
    </xf>
    <xf numFmtId="0" fontId="1" fillId="0" borderId="260" xfId="0" applyNumberFormat="1" applyFont="1" applyFill="1" applyBorder="1" applyAlignment="1" applyProtection="1">
      <alignment horizontal="center" vertical="center" shrinkToFit="1"/>
    </xf>
    <xf numFmtId="0" fontId="1" fillId="0" borderId="398" xfId="0" applyNumberFormat="1" applyFont="1" applyFill="1" applyBorder="1" applyAlignment="1" applyProtection="1">
      <alignment horizontal="center" vertical="center" shrinkToFit="1"/>
    </xf>
    <xf numFmtId="0" fontId="33" fillId="0" borderId="173" xfId="0" applyNumberFormat="1" applyFont="1" applyFill="1" applyBorder="1" applyAlignment="1" applyProtection="1">
      <alignment horizontal="center" vertical="center" shrinkToFit="1"/>
    </xf>
    <xf numFmtId="0" fontId="3" fillId="0" borderId="312" xfId="0" applyNumberFormat="1" applyFont="1" applyFill="1" applyBorder="1" applyAlignment="1" applyProtection="1">
      <alignment horizontal="center" vertical="center" shrinkToFit="1"/>
    </xf>
    <xf numFmtId="0" fontId="3" fillId="0" borderId="375" xfId="0" applyNumberFormat="1" applyFont="1" applyFill="1" applyBorder="1" applyAlignment="1" applyProtection="1">
      <alignment horizontal="center" vertical="center" shrinkToFit="1"/>
    </xf>
    <xf numFmtId="0" fontId="1" fillId="0" borderId="428" xfId="0" applyNumberFormat="1" applyFont="1" applyFill="1" applyBorder="1" applyAlignment="1" applyProtection="1">
      <alignment horizontal="center" vertical="center" shrinkToFit="1"/>
    </xf>
    <xf numFmtId="0" fontId="1" fillId="0" borderId="337" xfId="0" applyNumberFormat="1" applyFont="1" applyFill="1" applyBorder="1" applyAlignment="1" applyProtection="1">
      <alignment horizontal="center" vertical="center" shrinkToFit="1"/>
    </xf>
    <xf numFmtId="0" fontId="1" fillId="0" borderId="381" xfId="0" applyNumberFormat="1" applyFont="1" applyFill="1" applyBorder="1" applyAlignment="1" applyProtection="1">
      <alignment horizontal="center" vertical="center" shrinkToFit="1"/>
    </xf>
    <xf numFmtId="0" fontId="13" fillId="0" borderId="173" xfId="0" applyNumberFormat="1" applyFont="1" applyFill="1" applyBorder="1" applyAlignment="1" applyProtection="1">
      <alignment horizontal="center" vertical="center" shrinkToFit="1"/>
    </xf>
    <xf numFmtId="0" fontId="13" fillId="0" borderId="312" xfId="0" applyNumberFormat="1" applyFont="1" applyFill="1" applyBorder="1" applyAlignment="1" applyProtection="1">
      <alignment horizontal="center" vertical="center" shrinkToFit="1"/>
    </xf>
    <xf numFmtId="0" fontId="13" fillId="0" borderId="375" xfId="0" applyNumberFormat="1" applyFont="1" applyFill="1" applyBorder="1" applyAlignment="1" applyProtection="1">
      <alignment horizontal="center" vertical="center" shrinkToFit="1"/>
    </xf>
    <xf numFmtId="0" fontId="5" fillId="0" borderId="314" xfId="0" applyNumberFormat="1" applyFont="1" applyFill="1" applyBorder="1" applyAlignment="1" applyProtection="1">
      <alignment horizontal="center" vertical="center" shrinkToFit="1"/>
    </xf>
    <xf numFmtId="0" fontId="7" fillId="3" borderId="170" xfId="0" applyNumberFormat="1" applyFont="1" applyFill="1" applyBorder="1" applyAlignment="1" applyProtection="1">
      <alignment horizontal="center" vertical="center" wrapText="1" shrinkToFit="1"/>
    </xf>
    <xf numFmtId="0" fontId="7" fillId="3" borderId="171" xfId="0" applyNumberFormat="1" applyFont="1" applyFill="1" applyBorder="1" applyAlignment="1" applyProtection="1">
      <alignment horizontal="center" vertical="center" wrapText="1" shrinkToFit="1"/>
    </xf>
    <xf numFmtId="0" fontId="7" fillId="0" borderId="314" xfId="0" applyNumberFormat="1" applyFont="1" applyFill="1" applyBorder="1" applyAlignment="1" applyProtection="1">
      <alignment horizontal="center" vertical="center" shrinkToFit="1"/>
    </xf>
    <xf numFmtId="0" fontId="26" fillId="8" borderId="332" xfId="0" applyNumberFormat="1" applyFont="1" applyFill="1" applyBorder="1" applyAlignment="1" applyProtection="1">
      <alignment horizontal="center" vertical="center" shrinkToFit="1"/>
    </xf>
    <xf numFmtId="0" fontId="26" fillId="8" borderId="262" xfId="0" applyNumberFormat="1" applyFont="1" applyFill="1" applyBorder="1" applyAlignment="1" applyProtection="1">
      <alignment vertical="center"/>
    </xf>
    <xf numFmtId="0" fontId="26" fillId="8" borderId="263" xfId="0" applyNumberFormat="1" applyFont="1" applyFill="1" applyBorder="1" applyAlignment="1" applyProtection="1">
      <alignment vertical="center"/>
    </xf>
    <xf numFmtId="0" fontId="1" fillId="4" borderId="325" xfId="0" applyNumberFormat="1" applyFont="1" applyFill="1" applyBorder="1" applyAlignment="1">
      <alignment horizontal="center" vertical="center" shrinkToFit="1"/>
    </xf>
    <xf numFmtId="0" fontId="1" fillId="4" borderId="358" xfId="0" applyNumberFormat="1" applyFont="1" applyFill="1" applyBorder="1" applyAlignment="1">
      <alignment horizontal="center" vertical="center" shrinkToFit="1"/>
    </xf>
    <xf numFmtId="0" fontId="17" fillId="10" borderId="219" xfId="0" applyNumberFormat="1" applyFont="1" applyFill="1" applyBorder="1" applyAlignment="1" applyProtection="1">
      <alignment horizontal="center" vertical="center" shrinkToFit="1"/>
    </xf>
    <xf numFmtId="0" fontId="17" fillId="10" borderId="195" xfId="0" applyNumberFormat="1" applyFont="1" applyFill="1" applyBorder="1" applyAlignment="1" applyProtection="1">
      <alignment horizontal="center" vertical="center" shrinkToFit="1"/>
    </xf>
    <xf numFmtId="0" fontId="17" fillId="10" borderId="338" xfId="0" applyNumberFormat="1" applyFont="1" applyFill="1" applyBorder="1" applyAlignment="1" applyProtection="1">
      <alignment horizontal="center" vertical="center" shrinkToFit="1"/>
    </xf>
    <xf numFmtId="0" fontId="1" fillId="0" borderId="335" xfId="0" applyNumberFormat="1" applyFont="1" applyFill="1" applyBorder="1" applyAlignment="1" applyProtection="1">
      <alignment horizontal="center" vertical="center" shrinkToFit="1"/>
    </xf>
    <xf numFmtId="0" fontId="23" fillId="0" borderId="173" xfId="0" applyNumberFormat="1" applyFont="1" applyFill="1" applyBorder="1" applyAlignment="1" applyProtection="1">
      <alignment horizontal="center" vertical="center" wrapText="1" shrinkToFit="1"/>
    </xf>
    <xf numFmtId="0" fontId="23" fillId="0" borderId="173" xfId="0" applyNumberFormat="1" applyFont="1" applyFill="1" applyBorder="1" applyAlignment="1" applyProtection="1">
      <alignment horizontal="center" vertical="center" shrinkToFit="1"/>
    </xf>
    <xf numFmtId="0" fontId="23" fillId="0" borderId="266" xfId="0" applyNumberFormat="1" applyFont="1" applyFill="1" applyBorder="1" applyAlignment="1" applyProtection="1">
      <alignment horizontal="center" vertical="center" shrinkToFit="1"/>
    </xf>
    <xf numFmtId="0" fontId="17" fillId="10" borderId="46" xfId="0" applyNumberFormat="1" applyFont="1" applyFill="1" applyBorder="1" applyAlignment="1" applyProtection="1">
      <alignment horizontal="center" vertical="center" shrinkToFit="1"/>
    </xf>
    <xf numFmtId="0" fontId="17" fillId="10" borderId="27" xfId="0" applyNumberFormat="1" applyFont="1" applyFill="1" applyBorder="1" applyAlignment="1" applyProtection="1">
      <alignment horizontal="center" vertical="center" shrinkToFit="1"/>
    </xf>
    <xf numFmtId="0" fontId="17" fillId="10" borderId="50" xfId="0" applyNumberFormat="1" applyFont="1" applyFill="1" applyBorder="1" applyAlignment="1" applyProtection="1">
      <alignment horizontal="center" vertical="center" shrinkToFit="1"/>
    </xf>
    <xf numFmtId="0" fontId="17" fillId="10" borderId="49" xfId="0" applyNumberFormat="1" applyFont="1" applyFill="1" applyBorder="1" applyAlignment="1" applyProtection="1">
      <alignment horizontal="center" vertical="center" shrinkToFit="1"/>
    </xf>
    <xf numFmtId="0" fontId="17" fillId="10" borderId="70" xfId="0" applyNumberFormat="1" applyFont="1" applyFill="1" applyBorder="1" applyAlignment="1" applyProtection="1">
      <alignment horizontal="center" vertical="center" shrinkToFit="1"/>
    </xf>
    <xf numFmtId="0" fontId="17" fillId="10" borderId="397" xfId="0" applyNumberFormat="1" applyFont="1" applyFill="1" applyBorder="1" applyAlignment="1" applyProtection="1">
      <alignment horizontal="center" vertical="center" shrinkToFit="1"/>
    </xf>
    <xf numFmtId="0" fontId="17" fillId="10" borderId="328" xfId="0" quotePrefix="1" applyNumberFormat="1" applyFont="1" applyFill="1" applyBorder="1" applyAlignment="1" applyProtection="1">
      <alignment horizontal="center" vertical="center" shrinkToFit="1"/>
    </xf>
    <xf numFmtId="0" fontId="17" fillId="10" borderId="204" xfId="0" quotePrefix="1" applyNumberFormat="1" applyFont="1" applyFill="1" applyBorder="1" applyAlignment="1" applyProtection="1">
      <alignment horizontal="center" vertical="center" shrinkToFit="1"/>
    </xf>
    <xf numFmtId="0" fontId="17" fillId="10" borderId="145" xfId="0" applyNumberFormat="1" applyFont="1" applyFill="1" applyBorder="1" applyAlignment="1" applyProtection="1">
      <alignment horizontal="center" vertical="center" shrinkToFit="1"/>
    </xf>
    <xf numFmtId="0" fontId="17" fillId="10" borderId="146" xfId="0" applyNumberFormat="1" applyFont="1" applyFill="1" applyBorder="1" applyAlignment="1" applyProtection="1">
      <alignment horizontal="center" vertical="center" shrinkToFit="1"/>
    </xf>
    <xf numFmtId="0" fontId="17" fillId="10" borderId="203" xfId="0" applyNumberFormat="1" applyFont="1" applyFill="1" applyBorder="1" applyAlignment="1" applyProtection="1">
      <alignment horizontal="center" vertical="center" shrinkToFit="1"/>
    </xf>
    <xf numFmtId="0" fontId="1" fillId="0" borderId="431" xfId="0" applyNumberFormat="1" applyFont="1" applyFill="1" applyBorder="1" applyAlignment="1" applyProtection="1">
      <alignment horizontal="center" vertical="center" shrinkToFit="1"/>
    </xf>
    <xf numFmtId="0" fontId="1" fillId="0" borderId="380" xfId="0" applyNumberFormat="1" applyFont="1" applyFill="1" applyBorder="1" applyAlignment="1" applyProtection="1">
      <alignment horizontal="center" vertical="center" shrinkToFit="1"/>
    </xf>
    <xf numFmtId="0" fontId="1" fillId="4" borderId="396" xfId="0" applyNumberFormat="1" applyFont="1" applyFill="1" applyBorder="1" applyAlignment="1">
      <alignment horizontal="center" vertical="center" shrinkToFit="1"/>
    </xf>
    <xf numFmtId="0" fontId="1" fillId="4" borderId="388" xfId="0" applyNumberFormat="1" applyFont="1" applyFill="1" applyBorder="1" applyAlignment="1">
      <alignment horizontal="center" vertical="center" shrinkToFit="1"/>
    </xf>
    <xf numFmtId="0" fontId="1" fillId="4" borderId="432" xfId="0" applyNumberFormat="1" applyFont="1" applyFill="1" applyBorder="1" applyAlignment="1">
      <alignment horizontal="center" vertical="center" shrinkToFit="1"/>
    </xf>
    <xf numFmtId="0" fontId="63" fillId="0" borderId="302" xfId="0" applyNumberFormat="1" applyFont="1" applyBorder="1" applyAlignment="1">
      <alignment horizontal="left" vertical="center" wrapText="1" shrinkToFit="1"/>
    </xf>
    <xf numFmtId="0" fontId="63" fillId="0" borderId="298" xfId="0" applyNumberFormat="1" applyFont="1" applyBorder="1" applyAlignment="1">
      <alignment horizontal="left" vertical="center" wrapText="1" shrinkToFit="1"/>
    </xf>
    <xf numFmtId="0" fontId="63" fillId="0" borderId="304" xfId="0" applyNumberFormat="1" applyFont="1" applyBorder="1" applyAlignment="1">
      <alignment horizontal="left" vertical="center" wrapText="1" shrinkToFit="1"/>
    </xf>
    <xf numFmtId="0" fontId="62" fillId="0" borderId="297" xfId="0" applyNumberFormat="1" applyFont="1" applyBorder="1" applyAlignment="1">
      <alignment horizontal="left" vertical="center" wrapText="1" shrinkToFit="1"/>
    </xf>
    <xf numFmtId="0" fontId="62" fillId="0" borderId="298" xfId="0" applyNumberFormat="1" applyFont="1" applyBorder="1" applyAlignment="1">
      <alignment horizontal="left" vertical="center" wrapText="1" shrinkToFit="1"/>
    </xf>
    <xf numFmtId="0" fontId="62" fillId="0" borderId="304" xfId="0" applyNumberFormat="1" applyFont="1" applyBorder="1" applyAlignment="1">
      <alignment horizontal="left" vertical="center" wrapText="1" shrinkToFit="1"/>
    </xf>
    <xf numFmtId="0" fontId="73" fillId="0" borderId="297" xfId="0" applyNumberFormat="1" applyFont="1" applyBorder="1" applyAlignment="1">
      <alignment horizontal="left" vertical="center" wrapText="1"/>
    </xf>
    <xf numFmtId="0" fontId="73" fillId="0" borderId="298" xfId="0" applyNumberFormat="1" applyFont="1" applyBorder="1" applyAlignment="1">
      <alignment horizontal="left" vertical="center" wrapText="1"/>
    </xf>
    <xf numFmtId="0" fontId="77" fillId="0" borderId="173" xfId="0" applyNumberFormat="1" applyFont="1" applyFill="1" applyBorder="1" applyAlignment="1" applyProtection="1">
      <alignment horizontal="center" vertical="center" shrinkToFit="1"/>
    </xf>
    <xf numFmtId="0" fontId="77" fillId="0" borderId="174" xfId="0" applyNumberFormat="1" applyFont="1" applyFill="1" applyBorder="1" applyAlignment="1" applyProtection="1">
      <alignment horizontal="center" vertical="center" shrinkToFit="1"/>
    </xf>
    <xf numFmtId="0" fontId="69" fillId="0" borderId="429" xfId="0" applyNumberFormat="1" applyFont="1" applyFill="1" applyBorder="1" applyAlignment="1" applyProtection="1">
      <alignment horizontal="center" vertical="center" shrinkToFit="1"/>
    </xf>
    <xf numFmtId="0" fontId="69" fillId="0" borderId="430" xfId="0" applyNumberFormat="1" applyFont="1" applyFill="1" applyBorder="1" applyAlignment="1" applyProtection="1">
      <alignment horizontal="center" vertical="center" shrinkToFit="1"/>
    </xf>
    <xf numFmtId="0" fontId="69" fillId="0" borderId="266" xfId="0" applyNumberFormat="1" applyFont="1" applyFill="1" applyBorder="1" applyAlignment="1" applyProtection="1">
      <alignment horizontal="center" vertical="center" shrinkToFit="1"/>
    </xf>
    <xf numFmtId="0" fontId="69" fillId="0" borderId="201" xfId="0" applyNumberFormat="1" applyFont="1" applyFill="1" applyBorder="1" applyAlignment="1" applyProtection="1">
      <alignment horizontal="center" vertical="center" shrinkToFit="1"/>
    </xf>
    <xf numFmtId="0" fontId="69" fillId="0" borderId="44" xfId="0" applyNumberFormat="1" applyFont="1" applyFill="1" applyBorder="1" applyAlignment="1" applyProtection="1">
      <alignment horizontal="center" vertical="center" shrinkToFit="1"/>
    </xf>
    <xf numFmtId="0" fontId="1" fillId="0" borderId="324" xfId="0" applyNumberFormat="1" applyFont="1" applyFill="1" applyBorder="1" applyAlignment="1" applyProtection="1">
      <alignment horizontal="center" vertical="center" shrinkToFit="1"/>
    </xf>
    <xf numFmtId="0" fontId="1" fillId="0" borderId="358" xfId="0" applyNumberFormat="1" applyFont="1" applyFill="1" applyBorder="1" applyAlignment="1" applyProtection="1">
      <alignment horizontal="center" vertical="center" shrinkToFit="1"/>
    </xf>
    <xf numFmtId="0" fontId="31" fillId="0" borderId="266" xfId="0" applyNumberFormat="1" applyFont="1" applyFill="1" applyBorder="1" applyAlignment="1" applyProtection="1">
      <alignment horizontal="center" vertical="center" shrinkToFit="1"/>
    </xf>
    <xf numFmtId="0" fontId="31" fillId="0" borderId="201" xfId="0" applyNumberFormat="1" applyFont="1" applyFill="1" applyBorder="1" applyAlignment="1" applyProtection="1">
      <alignment horizontal="center" vertical="center" shrinkToFit="1"/>
    </xf>
    <xf numFmtId="0" fontId="31" fillId="0" borderId="44" xfId="0" applyNumberFormat="1" applyFont="1" applyFill="1" applyBorder="1" applyAlignment="1" applyProtection="1">
      <alignment horizontal="center" vertical="center" shrinkToFit="1"/>
    </xf>
    <xf numFmtId="0" fontId="1" fillId="0" borderId="325" xfId="0" applyNumberFormat="1" applyFont="1" applyBorder="1" applyAlignment="1">
      <alignment horizontal="center" vertical="center" shrinkToFit="1"/>
    </xf>
    <xf numFmtId="0" fontId="1" fillId="0" borderId="231" xfId="0" applyNumberFormat="1" applyFont="1" applyBorder="1" applyAlignment="1">
      <alignment horizontal="center" vertical="center" shrinkToFit="1"/>
    </xf>
    <xf numFmtId="0" fontId="1" fillId="0" borderId="73" xfId="0" applyNumberFormat="1" applyFont="1" applyBorder="1" applyAlignment="1">
      <alignment horizontal="center" vertical="center" shrinkToFit="1"/>
    </xf>
    <xf numFmtId="0" fontId="1" fillId="0" borderId="330" xfId="0" applyNumberFormat="1" applyFont="1" applyBorder="1" applyAlignment="1">
      <alignment horizontal="center" vertical="center" shrinkToFit="1"/>
    </xf>
    <xf numFmtId="0" fontId="1" fillId="0" borderId="226" xfId="0" applyNumberFormat="1" applyFont="1" applyBorder="1" applyAlignment="1">
      <alignment horizontal="center" vertical="center" shrinkToFit="1"/>
    </xf>
    <xf numFmtId="0" fontId="1" fillId="0" borderId="227" xfId="0" applyNumberFormat="1" applyFont="1" applyBorder="1" applyAlignment="1">
      <alignment horizontal="center" vertical="center" shrinkToFit="1"/>
    </xf>
    <xf numFmtId="0" fontId="3" fillId="0" borderId="173" xfId="0" applyNumberFormat="1" applyFont="1" applyBorder="1" applyAlignment="1">
      <alignment horizontal="center" vertical="center" shrinkToFit="1"/>
    </xf>
    <xf numFmtId="0" fontId="3" fillId="0" borderId="174" xfId="0" applyNumberFormat="1" applyFont="1" applyBorder="1" applyAlignment="1">
      <alignment horizontal="center" vertical="center" shrinkToFit="1"/>
    </xf>
    <xf numFmtId="0" fontId="70" fillId="0" borderId="375" xfId="0" applyNumberFormat="1" applyFont="1" applyFill="1" applyBorder="1" applyAlignment="1" applyProtection="1">
      <alignment horizontal="center" vertical="center" shrinkToFit="1"/>
    </xf>
    <xf numFmtId="0" fontId="70" fillId="0" borderId="376" xfId="0" applyNumberFormat="1" applyFont="1" applyFill="1" applyBorder="1" applyAlignment="1" applyProtection="1">
      <alignment vertical="center"/>
    </xf>
    <xf numFmtId="0" fontId="70" fillId="0" borderId="399" xfId="0" applyNumberFormat="1" applyFont="1" applyFill="1" applyBorder="1" applyAlignment="1" applyProtection="1">
      <alignment vertical="center"/>
    </xf>
    <xf numFmtId="0" fontId="1" fillId="3" borderId="325" xfId="0" applyNumberFormat="1" applyFont="1" applyFill="1" applyBorder="1" applyAlignment="1" applyProtection="1">
      <alignment horizontal="center" vertical="center" shrinkToFit="1"/>
    </xf>
    <xf numFmtId="0" fontId="1" fillId="3" borderId="231" xfId="0" quotePrefix="1" applyNumberFormat="1" applyFont="1" applyFill="1" applyBorder="1" applyAlignment="1" applyProtection="1">
      <alignment horizontal="center" vertical="center" shrinkToFit="1"/>
    </xf>
    <xf numFmtId="0" fontId="1" fillId="3" borderId="231" xfId="0" applyNumberFormat="1" applyFont="1" applyFill="1" applyBorder="1" applyAlignment="1" applyProtection="1">
      <alignment horizontal="center" vertical="center" shrinkToFit="1"/>
    </xf>
    <xf numFmtId="0" fontId="1" fillId="3" borderId="366" xfId="0" applyNumberFormat="1" applyFont="1" applyFill="1" applyBorder="1" applyAlignment="1" applyProtection="1">
      <alignment horizontal="center" vertical="center" shrinkToFit="1"/>
    </xf>
    <xf numFmtId="0" fontId="26" fillId="0" borderId="332" xfId="0" applyNumberFormat="1" applyFont="1" applyFill="1" applyBorder="1" applyAlignment="1" applyProtection="1">
      <alignment horizontal="center" vertical="center" shrinkToFit="1"/>
    </xf>
    <xf numFmtId="0" fontId="26" fillId="0" borderId="262" xfId="0" applyNumberFormat="1" applyFont="1" applyFill="1" applyBorder="1" applyAlignment="1" applyProtection="1">
      <alignment vertical="center"/>
    </xf>
    <xf numFmtId="0" fontId="26" fillId="0" borderId="263" xfId="0" applyNumberFormat="1" applyFont="1" applyFill="1" applyBorder="1" applyAlignment="1" applyProtection="1">
      <alignment vertical="center"/>
    </xf>
    <xf numFmtId="0" fontId="13" fillId="0" borderId="376" xfId="0" applyNumberFormat="1" applyFont="1" applyFill="1" applyBorder="1" applyAlignment="1" applyProtection="1">
      <alignment vertical="center"/>
    </xf>
    <xf numFmtId="0" fontId="13" fillId="0" borderId="399" xfId="0" applyNumberFormat="1" applyFont="1" applyFill="1" applyBorder="1" applyAlignment="1" applyProtection="1">
      <alignment vertical="center"/>
    </xf>
    <xf numFmtId="0" fontId="1" fillId="0" borderId="225" xfId="0" applyNumberFormat="1" applyFont="1" applyFill="1" applyBorder="1" applyAlignment="1" applyProtection="1">
      <alignment horizontal="center" vertical="center" shrinkToFit="1"/>
    </xf>
    <xf numFmtId="0" fontId="3" fillId="0" borderId="314" xfId="0" applyNumberFormat="1" applyFont="1" applyFill="1" applyBorder="1" applyAlignment="1" applyProtection="1">
      <alignment vertical="center" shrinkToFit="1"/>
    </xf>
    <xf numFmtId="0" fontId="3" fillId="0" borderId="315" xfId="0" applyNumberFormat="1" applyFont="1" applyFill="1" applyBorder="1" applyAlignment="1" applyProtection="1">
      <alignment vertical="center" shrinkToFit="1"/>
    </xf>
    <xf numFmtId="0" fontId="26" fillId="7" borderId="201" xfId="0" applyNumberFormat="1" applyFont="1" applyFill="1" applyBorder="1" applyAlignment="1" applyProtection="1">
      <alignment horizontal="center" vertical="center" shrinkToFit="1"/>
    </xf>
    <xf numFmtId="0" fontId="26" fillId="7" borderId="44" xfId="0" applyNumberFormat="1" applyFont="1" applyFill="1" applyBorder="1" applyAlignment="1" applyProtection="1">
      <alignment horizontal="center" vertical="center" shrinkToFit="1"/>
    </xf>
    <xf numFmtId="0" fontId="13" fillId="0" borderId="201" xfId="0" applyNumberFormat="1" applyFont="1" applyFill="1" applyBorder="1" applyAlignment="1" applyProtection="1">
      <alignment horizontal="center" vertical="center" shrinkToFit="1"/>
    </xf>
    <xf numFmtId="0" fontId="13" fillId="0" borderId="44" xfId="0" applyNumberFormat="1" applyFont="1" applyFill="1" applyBorder="1" applyAlignment="1" applyProtection="1">
      <alignment horizontal="center" vertical="center" shrinkToFit="1"/>
    </xf>
    <xf numFmtId="0" fontId="26" fillId="0" borderId="266" xfId="0" applyNumberFormat="1" applyFont="1" applyFill="1" applyBorder="1" applyAlignment="1" applyProtection="1">
      <alignment horizontal="center" vertical="center" shrinkToFit="1"/>
    </xf>
    <xf numFmtId="0" fontId="26" fillId="0" borderId="201" xfId="0" applyNumberFormat="1" applyFont="1" applyFill="1" applyBorder="1" applyAlignment="1" applyProtection="1">
      <alignment horizontal="center" vertical="center" shrinkToFit="1"/>
    </xf>
    <xf numFmtId="0" fontId="26" fillId="0" borderId="44" xfId="0" applyNumberFormat="1" applyFont="1" applyFill="1" applyBorder="1" applyAlignment="1" applyProtection="1">
      <alignment horizontal="center" vertical="center" shrinkToFit="1"/>
    </xf>
    <xf numFmtId="0" fontId="1" fillId="0" borderId="353" xfId="0" applyNumberFormat="1" applyFont="1" applyFill="1" applyBorder="1" applyAlignment="1" applyProtection="1">
      <alignment horizontal="center" vertical="center" shrinkToFit="1"/>
    </xf>
    <xf numFmtId="0" fontId="0" fillId="0" borderId="173" xfId="0" applyNumberFormat="1" applyFont="1" applyFill="1" applyBorder="1" applyAlignment="1" applyProtection="1">
      <alignment horizontal="center" vertical="center"/>
    </xf>
    <xf numFmtId="0" fontId="0" fillId="0" borderId="174" xfId="0" applyNumberFormat="1" applyFont="1" applyFill="1" applyBorder="1" applyAlignment="1" applyProtection="1">
      <alignment horizontal="center" vertical="center"/>
    </xf>
    <xf numFmtId="0" fontId="0" fillId="0" borderId="173" xfId="0" applyNumberFormat="1" applyFont="1" applyFill="1" applyBorder="1" applyAlignment="1" applyProtection="1">
      <alignment vertical="center"/>
    </xf>
    <xf numFmtId="0" fontId="0" fillId="0" borderId="174" xfId="0" applyNumberFormat="1" applyFont="1" applyFill="1" applyBorder="1" applyAlignment="1" applyProtection="1">
      <alignment vertical="center"/>
    </xf>
    <xf numFmtId="0" fontId="13" fillId="0" borderId="376" xfId="0" applyNumberFormat="1" applyFont="1" applyFill="1" applyBorder="1" applyAlignment="1" applyProtection="1">
      <alignment horizontal="center" vertical="center" shrinkToFit="1"/>
    </xf>
    <xf numFmtId="0" fontId="13" fillId="0" borderId="399" xfId="0" applyNumberFormat="1" applyFont="1" applyFill="1" applyBorder="1" applyAlignment="1" applyProtection="1">
      <alignment horizontal="center" vertical="center" shrinkToFit="1"/>
    </xf>
    <xf numFmtId="0" fontId="1" fillId="0" borderId="231" xfId="0" quotePrefix="1" applyNumberFormat="1" applyFont="1" applyFill="1" applyBorder="1" applyAlignment="1" applyProtection="1">
      <alignment horizontal="center" vertical="center" shrinkToFit="1"/>
    </xf>
    <xf numFmtId="0" fontId="1" fillId="0" borderId="366" xfId="0" applyNumberFormat="1" applyFont="1" applyFill="1" applyBorder="1" applyAlignment="1" applyProtection="1">
      <alignment horizontal="center" vertical="center" shrinkToFit="1"/>
    </xf>
    <xf numFmtId="0" fontId="1" fillId="7" borderId="417" xfId="0" applyNumberFormat="1" applyFont="1" applyFill="1" applyBorder="1" applyAlignment="1" applyProtection="1">
      <alignment horizontal="center" vertical="center" shrinkToFit="1"/>
    </xf>
    <xf numFmtId="0" fontId="13" fillId="0" borderId="174" xfId="0" applyNumberFormat="1" applyFont="1" applyFill="1" applyBorder="1" applyAlignment="1" applyProtection="1">
      <alignment horizontal="center" vertical="center" shrinkToFit="1"/>
    </xf>
    <xf numFmtId="0" fontId="69" fillId="0" borderId="332" xfId="0" applyNumberFormat="1" applyFont="1" applyBorder="1" applyAlignment="1">
      <alignment horizontal="center" vertical="center" shrinkToFit="1"/>
    </xf>
    <xf numFmtId="0" fontId="69" fillId="0" borderId="262" xfId="0" applyNumberFormat="1" applyFont="1" applyBorder="1" applyAlignment="1">
      <alignment horizontal="center" vertical="center" shrinkToFit="1"/>
    </xf>
    <xf numFmtId="0" fontId="69" fillId="0" borderId="263" xfId="0" applyNumberFormat="1" applyFont="1" applyBorder="1" applyAlignment="1">
      <alignment horizontal="center" vertical="center" shrinkToFit="1"/>
    </xf>
    <xf numFmtId="0" fontId="3" fillId="0" borderId="390" xfId="0" applyNumberFormat="1" applyFont="1" applyFill="1" applyBorder="1" applyAlignment="1" applyProtection="1">
      <alignment horizontal="center" vertical="center" shrinkToFit="1"/>
    </xf>
    <xf numFmtId="0" fontId="3" fillId="0" borderId="147" xfId="0" applyNumberFormat="1" applyFont="1" applyFill="1" applyBorder="1" applyAlignment="1" applyProtection="1">
      <alignment horizontal="center" vertical="center" shrinkToFit="1"/>
    </xf>
    <xf numFmtId="0" fontId="3" fillId="0" borderId="387" xfId="0" applyNumberFormat="1" applyFont="1" applyFill="1" applyBorder="1" applyAlignment="1" applyProtection="1">
      <alignment horizontal="center" vertical="center" shrinkToFit="1"/>
    </xf>
    <xf numFmtId="0" fontId="31" fillId="0" borderId="173" xfId="0" applyNumberFormat="1" applyFont="1" applyFill="1" applyBorder="1" applyAlignment="1" applyProtection="1">
      <alignment horizontal="center" vertical="center" shrinkToFit="1"/>
    </xf>
    <xf numFmtId="0" fontId="3" fillId="0" borderId="170" xfId="0" applyNumberFormat="1" applyFont="1" applyFill="1" applyBorder="1" applyAlignment="1" applyProtection="1">
      <alignment horizontal="center" vertical="center" shrinkToFit="1"/>
    </xf>
    <xf numFmtId="0" fontId="3" fillId="0" borderId="171" xfId="0" applyNumberFormat="1" applyFont="1" applyFill="1" applyBorder="1" applyAlignment="1" applyProtection="1">
      <alignment horizontal="center" vertical="center" shrinkToFit="1"/>
    </xf>
    <xf numFmtId="0" fontId="63" fillId="0" borderId="297" xfId="0" applyNumberFormat="1" applyFont="1" applyBorder="1" applyAlignment="1">
      <alignment horizontal="left" vertical="center" wrapText="1"/>
    </xf>
    <xf numFmtId="0" fontId="67" fillId="0" borderId="298" xfId="0" applyNumberFormat="1" applyFont="1" applyBorder="1" applyAlignment="1">
      <alignment horizontal="left" vertical="center" wrapText="1"/>
    </xf>
    <xf numFmtId="0" fontId="67" fillId="0" borderId="299" xfId="0" applyNumberFormat="1" applyFont="1" applyBorder="1" applyAlignment="1">
      <alignment horizontal="left" vertical="center" wrapText="1"/>
    </xf>
    <xf numFmtId="0" fontId="62" fillId="0" borderId="298" xfId="0" applyNumberFormat="1" applyFont="1" applyFill="1" applyBorder="1" applyAlignment="1" applyProtection="1">
      <alignment horizontal="left" vertical="center" wrapText="1" shrinkToFit="1"/>
    </xf>
    <xf numFmtId="0" fontId="62" fillId="0" borderId="299" xfId="0" applyNumberFormat="1" applyFont="1" applyFill="1" applyBorder="1" applyAlignment="1" applyProtection="1">
      <alignment horizontal="left" vertical="center" wrapText="1" shrinkToFit="1"/>
    </xf>
    <xf numFmtId="0" fontId="63" fillId="0" borderId="298" xfId="0" applyNumberFormat="1" applyFont="1" applyBorder="1" applyAlignment="1">
      <alignment horizontal="left" vertical="center" wrapText="1"/>
    </xf>
    <xf numFmtId="0" fontId="73" fillId="0" borderId="298" xfId="0" applyNumberFormat="1" applyFont="1" applyFill="1" applyBorder="1" applyAlignment="1" applyProtection="1">
      <alignment horizontal="left" vertical="center" wrapText="1" shrinkToFit="1"/>
    </xf>
    <xf numFmtId="0" fontId="73" fillId="0" borderId="101" xfId="0" applyNumberFormat="1" applyFont="1" applyFill="1" applyBorder="1" applyAlignment="1" applyProtection="1">
      <alignment horizontal="left" vertical="center" wrapText="1" shrinkToFit="1"/>
    </xf>
    <xf numFmtId="0" fontId="63" fillId="0" borderId="297" xfId="0" applyNumberFormat="1" applyFont="1" applyFill="1" applyBorder="1" applyAlignment="1" applyProtection="1">
      <alignment horizontal="left" vertical="center" wrapText="1" shrinkToFit="1"/>
    </xf>
    <xf numFmtId="0" fontId="63" fillId="0" borderId="298" xfId="0" applyNumberFormat="1" applyFont="1" applyFill="1" applyBorder="1" applyAlignment="1" applyProtection="1">
      <alignment horizontal="left" vertical="center" shrinkToFit="1"/>
    </xf>
    <xf numFmtId="0" fontId="63" fillId="0" borderId="304" xfId="0" applyNumberFormat="1" applyFont="1" applyFill="1" applyBorder="1" applyAlignment="1" applyProtection="1">
      <alignment horizontal="left" vertical="center" shrinkToFit="1"/>
    </xf>
    <xf numFmtId="0" fontId="73" fillId="0" borderId="297" xfId="0" applyNumberFormat="1" applyFont="1" applyFill="1" applyBorder="1" applyAlignment="1" applyProtection="1">
      <alignment horizontal="left" vertical="center" wrapText="1" shrinkToFit="1"/>
    </xf>
    <xf numFmtId="0" fontId="73" fillId="0" borderId="298" xfId="0" applyNumberFormat="1" applyFont="1" applyFill="1" applyBorder="1" applyAlignment="1" applyProtection="1">
      <alignment horizontal="left" vertical="center" shrinkToFit="1"/>
    </xf>
    <xf numFmtId="0" fontId="73" fillId="0" borderId="304" xfId="0" applyNumberFormat="1" applyFont="1" applyFill="1" applyBorder="1" applyAlignment="1" applyProtection="1">
      <alignment horizontal="left" vertical="center" shrinkToFit="1"/>
    </xf>
    <xf numFmtId="0" fontId="82" fillId="0" borderId="297" xfId="0" applyNumberFormat="1" applyFont="1" applyBorder="1" applyAlignment="1">
      <alignment horizontal="left" vertical="center" wrapText="1" shrinkToFit="1"/>
    </xf>
    <xf numFmtId="0" fontId="82" fillId="0" borderId="298" xfId="0" applyNumberFormat="1" applyFont="1" applyBorder="1" applyAlignment="1">
      <alignment horizontal="left" vertical="center" wrapText="1" shrinkToFit="1"/>
    </xf>
    <xf numFmtId="0" fontId="82" fillId="0" borderId="304" xfId="0" applyNumberFormat="1" applyFont="1" applyBorder="1" applyAlignment="1">
      <alignment horizontal="left" vertical="center" wrapText="1" shrinkToFit="1"/>
    </xf>
    <xf numFmtId="0" fontId="62" fillId="0" borderId="302" xfId="0" applyNumberFormat="1" applyFont="1" applyFill="1" applyBorder="1" applyAlignment="1" applyProtection="1">
      <alignment horizontal="left" vertical="center" wrapText="1" shrinkToFit="1"/>
    </xf>
    <xf numFmtId="0" fontId="62" fillId="0" borderId="304" xfId="0" applyNumberFormat="1" applyFont="1" applyFill="1" applyBorder="1" applyAlignment="1" applyProtection="1">
      <alignment horizontal="left" vertical="center" wrapText="1" shrinkToFit="1"/>
    </xf>
    <xf numFmtId="0" fontId="62" fillId="0" borderId="297" xfId="0" applyNumberFormat="1" applyFont="1" applyFill="1" applyBorder="1" applyAlignment="1" applyProtection="1">
      <alignment horizontal="left" vertical="center" wrapText="1" shrinkToFit="1"/>
    </xf>
    <xf numFmtId="0" fontId="73" fillId="0" borderId="302" xfId="0" applyNumberFormat="1" applyFont="1" applyBorder="1" applyAlignment="1">
      <alignment horizontal="left" vertical="center" wrapText="1" shrinkToFit="1"/>
    </xf>
    <xf numFmtId="0" fontId="73" fillId="0" borderId="298" xfId="0" applyNumberFormat="1" applyFont="1" applyBorder="1" applyAlignment="1">
      <alignment horizontal="left" vertical="center" shrinkToFit="1"/>
    </xf>
    <xf numFmtId="0" fontId="73" fillId="0" borderId="304" xfId="0" applyNumberFormat="1" applyFont="1" applyBorder="1" applyAlignment="1">
      <alignment horizontal="left" vertical="center" wrapText="1"/>
    </xf>
    <xf numFmtId="0" fontId="62" fillId="0" borderId="101" xfId="0" applyNumberFormat="1" applyFont="1" applyFill="1" applyBorder="1" applyAlignment="1" applyProtection="1">
      <alignment horizontal="left" vertical="center" wrapText="1" shrinkToFit="1"/>
    </xf>
    <xf numFmtId="0" fontId="62" fillId="0" borderId="303" xfId="0" applyNumberFormat="1" applyFont="1" applyFill="1" applyBorder="1" applyAlignment="1" applyProtection="1">
      <alignment horizontal="left" vertical="center" wrapText="1" shrinkToFit="1"/>
    </xf>
    <xf numFmtId="0" fontId="62" fillId="0" borderId="298" xfId="0" applyNumberFormat="1" applyFont="1" applyFill="1" applyBorder="1" applyAlignment="1" applyProtection="1">
      <alignment horizontal="left" vertical="center"/>
    </xf>
    <xf numFmtId="0" fontId="81" fillId="0" borderId="297" xfId="0" applyNumberFormat="1" applyFont="1" applyFill="1" applyBorder="1" applyAlignment="1" applyProtection="1">
      <alignment horizontal="left" vertical="center" wrapText="1" shrinkToFit="1"/>
    </xf>
    <xf numFmtId="0" fontId="62" fillId="0" borderId="298" xfId="0" applyNumberFormat="1" applyFont="1" applyFill="1" applyBorder="1" applyAlignment="1" applyProtection="1">
      <alignment horizontal="left" vertical="center" shrinkToFit="1"/>
    </xf>
    <xf numFmtId="0" fontId="62" fillId="0" borderId="299" xfId="0" applyNumberFormat="1" applyFont="1" applyFill="1" applyBorder="1" applyAlignment="1" applyProtection="1">
      <alignment horizontal="left" vertical="center" shrinkToFit="1"/>
    </xf>
    <xf numFmtId="0" fontId="83" fillId="0" borderId="303" xfId="0" applyNumberFormat="1" applyFont="1" applyFill="1" applyBorder="1" applyAlignment="1" applyProtection="1">
      <alignment horizontal="left" vertical="center" wrapText="1" shrinkToFit="1"/>
    </xf>
    <xf numFmtId="0" fontId="63" fillId="0" borderId="298" xfId="0" applyNumberFormat="1" applyFont="1" applyFill="1" applyBorder="1" applyAlignment="1" applyProtection="1">
      <alignment horizontal="left" vertical="center" wrapText="1" shrinkToFit="1"/>
    </xf>
    <xf numFmtId="0" fontId="63" fillId="0" borderId="304" xfId="0" applyNumberFormat="1" applyFont="1" applyFill="1" applyBorder="1" applyAlignment="1" applyProtection="1">
      <alignment horizontal="left" vertical="center" wrapText="1" shrinkToFit="1"/>
    </xf>
    <xf numFmtId="0" fontId="64" fillId="0" borderId="302" xfId="0" applyNumberFormat="1" applyFont="1" applyFill="1" applyBorder="1" applyAlignment="1" applyProtection="1">
      <alignment horizontal="left" vertical="center" wrapText="1" shrinkToFit="1"/>
    </xf>
    <xf numFmtId="0" fontId="69" fillId="0" borderId="334" xfId="0" applyNumberFormat="1" applyFont="1" applyBorder="1" applyAlignment="1">
      <alignment horizontal="center" vertical="center" shrinkToFit="1"/>
    </xf>
    <xf numFmtId="0" fontId="69" fillId="0" borderId="323" xfId="0" applyNumberFormat="1" applyFont="1" applyBorder="1" applyAlignment="1">
      <alignment horizontal="center" vertical="center" shrinkToFit="1"/>
    </xf>
    <xf numFmtId="0" fontId="69" fillId="0" borderId="273" xfId="0" applyNumberFormat="1" applyFont="1" applyBorder="1" applyAlignment="1">
      <alignment horizontal="center" vertical="center" shrinkToFit="1"/>
    </xf>
    <xf numFmtId="0" fontId="66" fillId="0" borderId="266" xfId="0" applyNumberFormat="1" applyFont="1" applyFill="1" applyBorder="1" applyAlignment="1" applyProtection="1">
      <alignment horizontal="center" vertical="center" shrinkToFit="1"/>
    </xf>
    <xf numFmtId="0" fontId="66" fillId="0" borderId="201" xfId="0" applyNumberFormat="1" applyFont="1" applyFill="1" applyBorder="1" applyAlignment="1" applyProtection="1">
      <alignment vertical="center"/>
    </xf>
    <xf numFmtId="0" fontId="66" fillId="0" borderId="44" xfId="0" applyNumberFormat="1" applyFont="1" applyFill="1" applyBorder="1" applyAlignment="1" applyProtection="1">
      <alignment vertical="center"/>
    </xf>
    <xf numFmtId="0" fontId="1" fillId="0" borderId="377" xfId="0" applyNumberFormat="1" applyFont="1" applyFill="1" applyBorder="1" applyAlignment="1" applyProtection="1">
      <alignment horizontal="center" vertical="center" shrinkToFit="1"/>
    </xf>
    <xf numFmtId="0" fontId="1" fillId="0" borderId="331" xfId="0" applyNumberFormat="1" applyFont="1" applyFill="1" applyBorder="1" applyAlignment="1" applyProtection="1">
      <alignment horizontal="center" vertical="center" shrinkToFit="1"/>
    </xf>
    <xf numFmtId="0" fontId="1" fillId="0" borderId="147" xfId="0" applyNumberFormat="1" applyFont="1" applyFill="1" applyBorder="1" applyAlignment="1" applyProtection="1">
      <alignment horizontal="center" vertical="center" shrinkToFit="1"/>
    </xf>
    <xf numFmtId="0" fontId="1" fillId="0" borderId="0" xfId="0" applyNumberFormat="1" applyFont="1" applyFill="1" applyBorder="1" applyAlignment="1" applyProtection="1">
      <alignment horizontal="center" vertical="center" shrinkToFit="1"/>
    </xf>
    <xf numFmtId="0" fontId="1" fillId="0" borderId="284" xfId="0" applyNumberFormat="1" applyFont="1" applyFill="1" applyBorder="1" applyAlignment="1" applyProtection="1">
      <alignment horizontal="center" vertical="center" shrinkToFit="1"/>
    </xf>
    <xf numFmtId="0" fontId="1" fillId="7" borderId="398" xfId="0" applyNumberFormat="1" applyFont="1" applyFill="1" applyBorder="1" applyAlignment="1" applyProtection="1">
      <alignment horizontal="center" vertical="center" shrinkToFit="1"/>
    </xf>
    <xf numFmtId="0" fontId="1" fillId="7" borderId="226" xfId="0" quotePrefix="1" applyNumberFormat="1" applyFont="1" applyFill="1" applyBorder="1" applyAlignment="1" applyProtection="1">
      <alignment horizontal="center" vertical="center" shrinkToFit="1"/>
    </xf>
    <xf numFmtId="0" fontId="1" fillId="7" borderId="226" xfId="0" applyNumberFormat="1" applyFont="1" applyFill="1" applyBorder="1" applyAlignment="1" applyProtection="1">
      <alignment horizontal="center" vertical="center" shrinkToFit="1"/>
    </xf>
    <xf numFmtId="0" fontId="1" fillId="7" borderId="227" xfId="0" applyNumberFormat="1" applyFont="1" applyFill="1" applyBorder="1" applyAlignment="1" applyProtection="1">
      <alignment horizontal="center" vertical="center" shrinkToFit="1"/>
    </xf>
    <xf numFmtId="0" fontId="13" fillId="7" borderId="266" xfId="0" applyNumberFormat="1" applyFont="1" applyFill="1" applyBorder="1" applyAlignment="1" applyProtection="1">
      <alignment horizontal="center" vertical="center" shrinkToFit="1"/>
    </xf>
    <xf numFmtId="0" fontId="13" fillId="7" borderId="201" xfId="0" applyNumberFormat="1" applyFont="1" applyFill="1" applyBorder="1" applyAlignment="1" applyProtection="1">
      <alignment horizontal="center" vertical="center" shrinkToFit="1"/>
    </xf>
    <xf numFmtId="0" fontId="13" fillId="7" borderId="44" xfId="0" applyNumberFormat="1" applyFont="1" applyFill="1" applyBorder="1" applyAlignment="1" applyProtection="1">
      <alignment horizontal="center" vertical="center" shrinkToFit="1"/>
    </xf>
    <xf numFmtId="0" fontId="3" fillId="7" borderId="429" xfId="0" applyNumberFormat="1" applyFont="1" applyFill="1" applyBorder="1" applyAlignment="1" applyProtection="1">
      <alignment horizontal="center" vertical="center" shrinkToFit="1"/>
    </xf>
    <xf numFmtId="0" fontId="3" fillId="7" borderId="430" xfId="0" applyNumberFormat="1" applyFont="1" applyFill="1" applyBorder="1" applyAlignment="1" applyProtection="1">
      <alignment horizontal="center" vertical="center" shrinkToFit="1"/>
    </xf>
    <xf numFmtId="0" fontId="13" fillId="7" borderId="334" xfId="0" applyNumberFormat="1" applyFont="1" applyFill="1" applyBorder="1" applyAlignment="1" applyProtection="1">
      <alignment horizontal="center" vertical="center" shrinkToFit="1"/>
    </xf>
    <xf numFmtId="0" fontId="13" fillId="7" borderId="323" xfId="0" applyNumberFormat="1" applyFont="1" applyFill="1" applyBorder="1" applyAlignment="1" applyProtection="1">
      <alignment vertical="center"/>
    </xf>
    <xf numFmtId="0" fontId="13" fillId="7" borderId="273" xfId="0" applyNumberFormat="1" applyFont="1" applyFill="1" applyBorder="1" applyAlignment="1" applyProtection="1">
      <alignment vertical="center"/>
    </xf>
    <xf numFmtId="0" fontId="15" fillId="0" borderId="188" xfId="0" applyNumberFormat="1" applyFont="1" applyFill="1" applyBorder="1" applyAlignment="1" applyProtection="1">
      <alignment horizontal="center" vertical="center"/>
    </xf>
    <xf numFmtId="0" fontId="19" fillId="0" borderId="266" xfId="0" applyNumberFormat="1" applyFont="1" applyFill="1" applyBorder="1" applyAlignment="1" applyProtection="1">
      <alignment horizontal="center" vertical="center" wrapText="1" shrinkToFit="1"/>
    </xf>
    <xf numFmtId="0" fontId="19" fillId="0" borderId="201" xfId="0" applyNumberFormat="1" applyFont="1" applyFill="1" applyBorder="1" applyAlignment="1" applyProtection="1">
      <alignment horizontal="center" vertical="center" wrapText="1" shrinkToFit="1"/>
    </xf>
    <xf numFmtId="0" fontId="19" fillId="0" borderId="44" xfId="0" applyNumberFormat="1" applyFont="1" applyFill="1" applyBorder="1" applyAlignment="1" applyProtection="1">
      <alignment horizontal="center" vertical="center" wrapText="1" shrinkToFit="1"/>
    </xf>
    <xf numFmtId="0" fontId="7" fillId="3" borderId="173" xfId="0" applyNumberFormat="1" applyFont="1" applyFill="1" applyBorder="1" applyAlignment="1" applyProtection="1">
      <alignment horizontal="center" vertical="center" wrapText="1" shrinkToFit="1"/>
    </xf>
    <xf numFmtId="0" fontId="7" fillId="3" borderId="174" xfId="0" applyNumberFormat="1" applyFont="1" applyFill="1" applyBorder="1" applyAlignment="1" applyProtection="1">
      <alignment horizontal="center" vertical="center" wrapText="1" shrinkToFit="1"/>
    </xf>
    <xf numFmtId="0" fontId="13" fillId="0" borderId="333" xfId="0" applyNumberFormat="1" applyFont="1" applyFill="1" applyBorder="1" applyAlignment="1" applyProtection="1">
      <alignment horizontal="center" vertical="center" wrapText="1" shrinkToFit="1"/>
    </xf>
    <xf numFmtId="0" fontId="13" fillId="0" borderId="320" xfId="0" applyNumberFormat="1" applyFont="1" applyFill="1" applyBorder="1" applyAlignment="1" applyProtection="1">
      <alignment horizontal="center" vertical="center" wrapText="1" shrinkToFit="1"/>
    </xf>
    <xf numFmtId="0" fontId="13" fillId="0" borderId="213" xfId="0" applyNumberFormat="1" applyFont="1" applyFill="1" applyBorder="1" applyAlignment="1" applyProtection="1">
      <alignment horizontal="center" vertical="center" wrapText="1" shrinkToFit="1"/>
    </xf>
    <xf numFmtId="0" fontId="7" fillId="0" borderId="201" xfId="0" applyNumberFormat="1" applyFont="1" applyFill="1" applyBorder="1" applyAlignment="1">
      <alignment horizontal="center" vertical="center" shrinkToFit="1"/>
    </xf>
    <xf numFmtId="0" fontId="7" fillId="0" borderId="44" xfId="0" applyNumberFormat="1" applyFont="1" applyFill="1" applyBorder="1" applyAlignment="1">
      <alignment horizontal="center" vertical="center" shrinkToFit="1"/>
    </xf>
    <xf numFmtId="0" fontId="65" fillId="0" borderId="266" xfId="0" applyNumberFormat="1" applyFont="1" applyBorder="1" applyAlignment="1">
      <alignment horizontal="center" vertical="center" shrinkToFit="1"/>
    </xf>
    <xf numFmtId="0" fontId="65" fillId="0" borderId="201" xfId="0" applyNumberFormat="1" applyFont="1" applyBorder="1" applyAlignment="1">
      <alignment horizontal="center" vertical="center" shrinkToFit="1"/>
    </xf>
    <xf numFmtId="0" fontId="65" fillId="0" borderId="44" xfId="0" applyNumberFormat="1" applyFont="1" applyBorder="1" applyAlignment="1">
      <alignment horizontal="center" vertical="center" shrinkToFit="1"/>
    </xf>
    <xf numFmtId="0" fontId="17" fillId="10" borderId="49" xfId="0" applyNumberFormat="1" applyFont="1" applyFill="1" applyBorder="1" applyAlignment="1">
      <alignment horizontal="center" vertical="center" shrinkToFit="1"/>
    </xf>
    <xf numFmtId="0" fontId="17" fillId="10" borderId="27" xfId="0" applyNumberFormat="1" applyFont="1" applyFill="1" applyBorder="1" applyAlignment="1">
      <alignment horizontal="center" vertical="center" shrinkToFit="1"/>
    </xf>
    <xf numFmtId="0" fontId="17" fillId="10" borderId="50" xfId="0" applyNumberFormat="1" applyFont="1" applyFill="1" applyBorder="1" applyAlignment="1">
      <alignment horizontal="center" vertical="center" shrinkToFit="1"/>
    </xf>
    <xf numFmtId="0" fontId="7" fillId="0" borderId="375" xfId="0" applyNumberFormat="1" applyFont="1" applyFill="1" applyBorder="1" applyAlignment="1" applyProtection="1">
      <alignment horizontal="center" vertical="center" shrinkToFit="1"/>
    </xf>
    <xf numFmtId="0" fontId="7" fillId="0" borderId="376" xfId="0" applyNumberFormat="1" applyFont="1" applyFill="1" applyBorder="1" applyAlignment="1" applyProtection="1">
      <alignment vertical="center"/>
    </xf>
    <xf numFmtId="0" fontId="7" fillId="0" borderId="399" xfId="0" applyNumberFormat="1" applyFont="1" applyFill="1" applyBorder="1" applyAlignment="1" applyProtection="1">
      <alignment vertical="center"/>
    </xf>
    <xf numFmtId="0" fontId="3" fillId="0" borderId="266" xfId="0" applyNumberFormat="1" applyFont="1" applyBorder="1" applyAlignment="1">
      <alignment horizontal="center" vertical="center" shrinkToFit="1"/>
    </xf>
    <xf numFmtId="0" fontId="1" fillId="0" borderId="320" xfId="0" applyNumberFormat="1" applyFont="1" applyBorder="1" applyAlignment="1">
      <alignment horizontal="center" vertical="center" shrinkToFit="1"/>
    </xf>
    <xf numFmtId="0" fontId="1" fillId="0" borderId="0" xfId="0" applyNumberFormat="1" applyFont="1" applyBorder="1" applyAlignment="1">
      <alignment horizontal="center" vertical="center" shrinkToFit="1"/>
    </xf>
    <xf numFmtId="0" fontId="1" fillId="0" borderId="66" xfId="0" applyNumberFormat="1" applyFont="1" applyBorder="1" applyAlignment="1">
      <alignment horizontal="center" vertical="center" shrinkToFit="1"/>
    </xf>
    <xf numFmtId="0" fontId="3" fillId="0" borderId="170" xfId="0" applyNumberFormat="1" applyFont="1" applyBorder="1" applyAlignment="1">
      <alignment horizontal="center" vertical="center" shrinkToFit="1"/>
    </xf>
    <xf numFmtId="0" fontId="3" fillId="0" borderId="334" xfId="0" applyNumberFormat="1" applyFont="1" applyBorder="1" applyAlignment="1">
      <alignment horizontal="center" vertical="center" shrinkToFit="1"/>
    </xf>
    <xf numFmtId="0" fontId="9" fillId="0" borderId="201" xfId="0" applyNumberFormat="1" applyFont="1" applyFill="1" applyBorder="1" applyAlignment="1" applyProtection="1">
      <alignment vertical="center"/>
    </xf>
    <xf numFmtId="0" fontId="9" fillId="0" borderId="44" xfId="0" applyNumberFormat="1" applyFont="1" applyFill="1" applyBorder="1" applyAlignment="1" applyProtection="1">
      <alignment vertical="center"/>
    </xf>
    <xf numFmtId="0" fontId="3" fillId="0" borderId="102" xfId="0" applyNumberFormat="1" applyFont="1" applyFill="1" applyBorder="1" applyAlignment="1" applyProtection="1">
      <alignment horizontal="center" vertical="center" shrinkToFit="1"/>
    </xf>
    <xf numFmtId="0" fontId="3" fillId="0" borderId="0" xfId="0" applyNumberFormat="1" applyFont="1" applyFill="1" applyBorder="1" applyAlignment="1" applyProtection="1">
      <alignment horizontal="center" vertical="center" shrinkToFit="1"/>
    </xf>
    <xf numFmtId="0" fontId="3" fillId="0" borderId="40" xfId="0" applyNumberFormat="1" applyFont="1" applyFill="1" applyBorder="1" applyAlignment="1" applyProtection="1">
      <alignment horizontal="center" vertical="center" shrinkToFit="1"/>
    </xf>
    <xf numFmtId="0" fontId="1" fillId="15" borderId="255" xfId="0" applyNumberFormat="1" applyFont="1" applyFill="1" applyBorder="1" applyAlignment="1" applyProtection="1">
      <alignment horizontal="center" vertical="center" shrinkToFit="1"/>
    </xf>
    <xf numFmtId="0" fontId="1" fillId="15" borderId="260" xfId="0" applyNumberFormat="1" applyFont="1" applyFill="1" applyBorder="1" applyAlignment="1" applyProtection="1">
      <alignment horizontal="center" vertical="center" shrinkToFit="1"/>
    </xf>
    <xf numFmtId="0" fontId="3" fillId="0" borderId="171" xfId="0" applyNumberFormat="1" applyFont="1" applyBorder="1" applyAlignment="1">
      <alignment horizontal="center" vertical="center" shrinkToFit="1"/>
    </xf>
    <xf numFmtId="0" fontId="5" fillId="0" borderId="173" xfId="0" applyNumberFormat="1" applyFont="1" applyBorder="1" applyAlignment="1">
      <alignment horizontal="center" vertical="center" shrinkToFit="1"/>
    </xf>
    <xf numFmtId="0" fontId="5" fillId="0" borderId="174" xfId="0" applyNumberFormat="1" applyFont="1" applyBorder="1" applyAlignment="1">
      <alignment horizontal="center" vertical="center" shrinkToFit="1"/>
    </xf>
    <xf numFmtId="0" fontId="3" fillId="0" borderId="314" xfId="0" applyNumberFormat="1" applyFont="1" applyBorder="1" applyAlignment="1">
      <alignment horizontal="center" vertical="center" shrinkToFit="1"/>
    </xf>
    <xf numFmtId="0" fontId="3" fillId="0" borderId="315" xfId="0" applyNumberFormat="1" applyFont="1" applyBorder="1" applyAlignment="1">
      <alignment horizontal="center" vertical="center" shrinkToFit="1"/>
    </xf>
    <xf numFmtId="0" fontId="3" fillId="0" borderId="332" xfId="0" applyNumberFormat="1" applyFont="1" applyBorder="1" applyAlignment="1">
      <alignment horizontal="center" vertical="center" shrinkToFit="1"/>
    </xf>
    <xf numFmtId="0" fontId="3" fillId="0" borderId="262" xfId="0" applyNumberFormat="1" applyFont="1" applyBorder="1" applyAlignment="1">
      <alignment horizontal="center" vertical="center" shrinkToFit="1"/>
    </xf>
    <xf numFmtId="0" fontId="3" fillId="0" borderId="263" xfId="0" applyNumberFormat="1" applyFont="1" applyBorder="1" applyAlignment="1">
      <alignment horizontal="center" vertical="center" shrinkToFit="1"/>
    </xf>
    <xf numFmtId="0" fontId="60" fillId="0" borderId="173" xfId="0" applyNumberFormat="1" applyFont="1" applyFill="1" applyBorder="1" applyAlignment="1" applyProtection="1">
      <alignment horizontal="center" vertical="center" shrinkToFit="1"/>
    </xf>
    <xf numFmtId="0" fontId="60" fillId="0" borderId="174" xfId="0" applyNumberFormat="1" applyFont="1" applyFill="1" applyBorder="1" applyAlignment="1" applyProtection="1">
      <alignment horizontal="center" vertical="center" shrinkToFit="1"/>
    </xf>
    <xf numFmtId="0" fontId="9" fillId="0" borderId="170" xfId="0" applyNumberFormat="1" applyFont="1" applyFill="1" applyBorder="1" applyAlignment="1" applyProtection="1">
      <alignment horizontal="center" vertical="center" shrinkToFit="1"/>
    </xf>
    <xf numFmtId="0" fontId="9" fillId="0" borderId="334" xfId="0" applyNumberFormat="1" applyFont="1" applyFill="1" applyBorder="1" applyAlignment="1" applyProtection="1">
      <alignment horizontal="center" vertical="center" shrinkToFit="1"/>
    </xf>
    <xf numFmtId="0" fontId="62" fillId="0" borderId="266" xfId="0" applyNumberFormat="1" applyFont="1" applyFill="1" applyBorder="1" applyAlignment="1" applyProtection="1">
      <alignment horizontal="center" vertical="center" shrinkToFit="1"/>
    </xf>
    <xf numFmtId="0" fontId="62" fillId="0" borderId="201" xfId="0" applyNumberFormat="1" applyFont="1" applyFill="1" applyBorder="1" applyAlignment="1" applyProtection="1">
      <alignment vertical="center"/>
    </xf>
    <xf numFmtId="0" fontId="62" fillId="0" borderId="44" xfId="0" applyNumberFormat="1" applyFont="1" applyFill="1" applyBorder="1" applyAlignment="1" applyProtection="1">
      <alignment vertical="center"/>
    </xf>
    <xf numFmtId="0" fontId="1" fillId="0" borderId="324" xfId="0" applyNumberFormat="1" applyFont="1" applyBorder="1" applyAlignment="1">
      <alignment horizontal="center" vertical="center" shrinkToFit="1"/>
    </xf>
    <xf numFmtId="0" fontId="1" fillId="0" borderId="331" xfId="0" applyNumberFormat="1" applyFont="1" applyBorder="1" applyAlignment="1">
      <alignment horizontal="center" vertical="center" shrinkToFit="1"/>
    </xf>
    <xf numFmtId="0" fontId="1" fillId="0" borderId="225" xfId="0" applyNumberFormat="1" applyFont="1" applyBorder="1" applyAlignment="1">
      <alignment horizontal="center" vertical="center" shrinkToFit="1"/>
    </xf>
    <xf numFmtId="0" fontId="1" fillId="0" borderId="335" xfId="0" applyNumberFormat="1" applyFont="1" applyBorder="1" applyAlignment="1">
      <alignment horizontal="center" vertical="center" shrinkToFit="1"/>
    </xf>
    <xf numFmtId="0" fontId="3" fillId="0" borderId="323" xfId="0" applyNumberFormat="1" applyFont="1" applyBorder="1" applyAlignment="1">
      <alignment horizontal="center" vertical="center" shrinkToFit="1"/>
    </xf>
    <xf numFmtId="0" fontId="3" fillId="0" borderId="273" xfId="0" applyNumberFormat="1" applyFont="1" applyBorder="1" applyAlignment="1">
      <alignment horizontal="center" vertical="center" shrinkToFit="1"/>
    </xf>
    <xf numFmtId="0" fontId="60" fillId="0" borderId="333" xfId="0" applyNumberFormat="1" applyFont="1" applyBorder="1" applyAlignment="1">
      <alignment horizontal="center" vertical="center" shrinkToFit="1"/>
    </xf>
    <xf numFmtId="0" fontId="60" fillId="0" borderId="320" xfId="0" applyNumberFormat="1" applyFont="1" applyBorder="1" applyAlignment="1">
      <alignment horizontal="center" vertical="center" shrinkToFit="1"/>
    </xf>
    <xf numFmtId="0" fontId="60" fillId="0" borderId="213" xfId="0" applyNumberFormat="1" applyFont="1" applyBorder="1" applyAlignment="1">
      <alignment horizontal="center" vertical="center" shrinkToFit="1"/>
    </xf>
    <xf numFmtId="0" fontId="60" fillId="0" borderId="102" xfId="0" applyNumberFormat="1" applyFont="1" applyBorder="1" applyAlignment="1">
      <alignment horizontal="center" vertical="center" shrinkToFit="1"/>
    </xf>
    <xf numFmtId="0" fontId="60" fillId="0" borderId="0" xfId="0" applyNumberFormat="1" applyFont="1" applyBorder="1" applyAlignment="1">
      <alignment horizontal="center" vertical="center" shrinkToFit="1"/>
    </xf>
    <xf numFmtId="0" fontId="60" fillId="0" borderId="40" xfId="0" applyNumberFormat="1" applyFont="1" applyBorder="1" applyAlignment="1">
      <alignment horizontal="center" vertical="center" shrinkToFit="1"/>
    </xf>
    <xf numFmtId="0" fontId="60" fillId="0" borderId="332" xfId="0" applyNumberFormat="1" applyFont="1" applyBorder="1" applyAlignment="1">
      <alignment horizontal="center" vertical="center" shrinkToFit="1"/>
    </xf>
    <xf numFmtId="0" fontId="60" fillId="0" borderId="262" xfId="0" applyNumberFormat="1" applyFont="1" applyBorder="1" applyAlignment="1">
      <alignment horizontal="center" vertical="center" shrinkToFit="1"/>
    </xf>
    <xf numFmtId="0" fontId="60" fillId="0" borderId="263" xfId="0" applyNumberFormat="1" applyFont="1" applyBorder="1" applyAlignment="1">
      <alignment horizontal="center" vertical="center" shrinkToFit="1"/>
    </xf>
    <xf numFmtId="0" fontId="13" fillId="0" borderId="173" xfId="0" applyNumberFormat="1" applyFont="1" applyBorder="1" applyAlignment="1">
      <alignment horizontal="center" vertical="center" shrinkToFit="1"/>
    </xf>
    <xf numFmtId="0" fontId="13" fillId="0" borderId="266" xfId="0" applyNumberFormat="1" applyFont="1" applyBorder="1" applyAlignment="1">
      <alignment horizontal="center" vertical="center" shrinkToFit="1"/>
    </xf>
    <xf numFmtId="0" fontId="13" fillId="0" borderId="201" xfId="0" applyNumberFormat="1" applyFont="1" applyBorder="1" applyAlignment="1">
      <alignment vertical="center"/>
    </xf>
    <xf numFmtId="0" fontId="13" fillId="0" borderId="44" xfId="0" applyNumberFormat="1" applyFont="1" applyBorder="1" applyAlignment="1">
      <alignment vertical="center"/>
    </xf>
    <xf numFmtId="0" fontId="9" fillId="0" borderId="201" xfId="0" applyNumberFormat="1" applyFont="1" applyBorder="1" applyAlignment="1">
      <alignment vertical="center"/>
    </xf>
    <xf numFmtId="0" fontId="9" fillId="0" borderId="44" xfId="0" applyNumberFormat="1" applyFont="1" applyBorder="1" applyAlignment="1">
      <alignment vertical="center"/>
    </xf>
    <xf numFmtId="0" fontId="7" fillId="0" borderId="173" xfId="0" applyNumberFormat="1" applyFont="1" applyBorder="1" applyAlignment="1">
      <alignment horizontal="center" vertical="center" shrinkToFit="1"/>
    </xf>
    <xf numFmtId="0" fontId="7" fillId="0" borderId="266" xfId="0" applyNumberFormat="1" applyFont="1" applyBorder="1" applyAlignment="1">
      <alignment horizontal="center" vertical="center" shrinkToFit="1"/>
    </xf>
    <xf numFmtId="0" fontId="7" fillId="0" borderId="201" xfId="0" applyNumberFormat="1" applyFont="1" applyFill="1" applyBorder="1" applyAlignment="1" applyProtection="1">
      <alignment vertical="center"/>
    </xf>
    <xf numFmtId="0" fontId="7" fillId="0" borderId="44" xfId="0" applyNumberFormat="1" applyFont="1" applyFill="1" applyBorder="1" applyAlignment="1" applyProtection="1">
      <alignment vertical="center"/>
    </xf>
    <xf numFmtId="0" fontId="9" fillId="0" borderId="323" xfId="0" applyNumberFormat="1" applyFont="1" applyBorder="1" applyAlignment="1">
      <alignment vertical="center"/>
    </xf>
    <xf numFmtId="0" fontId="9" fillId="0" borderId="273" xfId="0" applyNumberFormat="1" applyFont="1" applyBorder="1" applyAlignment="1">
      <alignment vertical="center"/>
    </xf>
    <xf numFmtId="0" fontId="7" fillId="0" borderId="174" xfId="0" applyNumberFormat="1" applyFont="1" applyBorder="1" applyAlignment="1">
      <alignment horizontal="center" vertical="center" shrinkToFit="1"/>
    </xf>
    <xf numFmtId="0" fontId="4" fillId="0" borderId="266" xfId="0" applyNumberFormat="1" applyFont="1" applyFill="1" applyBorder="1" applyAlignment="1" applyProtection="1">
      <alignment horizontal="center" vertical="center"/>
    </xf>
    <xf numFmtId="0" fontId="4" fillId="0" borderId="201" xfId="0" applyNumberFormat="1" applyFont="1" applyFill="1" applyBorder="1" applyAlignment="1" applyProtection="1">
      <alignment horizontal="center" vertical="center"/>
    </xf>
    <xf numFmtId="0" fontId="28" fillId="11" borderId="277" xfId="0" applyNumberFormat="1" applyFont="1" applyFill="1" applyBorder="1" applyAlignment="1">
      <alignment horizontal="center" vertical="center" shrinkToFit="1"/>
    </xf>
    <xf numFmtId="0" fontId="28" fillId="11" borderId="278" xfId="0" applyNumberFormat="1" applyFont="1" applyFill="1" applyBorder="1" applyAlignment="1">
      <alignment horizontal="center" vertical="center" shrinkToFit="1"/>
    </xf>
    <xf numFmtId="0" fontId="28" fillId="11" borderId="6" xfId="0" applyNumberFormat="1" applyFont="1" applyFill="1" applyBorder="1" applyAlignment="1">
      <alignment horizontal="center" vertical="center" shrinkToFit="1"/>
    </xf>
    <xf numFmtId="0" fontId="28" fillId="11" borderId="7" xfId="0" applyNumberFormat="1" applyFont="1" applyFill="1" applyBorder="1" applyAlignment="1">
      <alignment horizontal="center" vertical="center" shrinkToFit="1"/>
    </xf>
    <xf numFmtId="0" fontId="28" fillId="11" borderId="279" xfId="0" applyNumberFormat="1" applyFont="1" applyFill="1" applyBorder="1" applyAlignment="1">
      <alignment horizontal="center" vertical="center" shrinkToFit="1"/>
    </xf>
    <xf numFmtId="0" fontId="28" fillId="11" borderId="127" xfId="0" applyNumberFormat="1" applyFont="1" applyFill="1" applyBorder="1" applyAlignment="1">
      <alignment horizontal="center" vertical="center" shrinkToFit="1"/>
    </xf>
    <xf numFmtId="0" fontId="28" fillId="11" borderId="235" xfId="0" applyNumberFormat="1" applyFont="1" applyFill="1" applyBorder="1" applyAlignment="1">
      <alignment horizontal="center" vertical="center" shrinkToFit="1"/>
    </xf>
    <xf numFmtId="0" fontId="28" fillId="11" borderId="280" xfId="0" applyNumberFormat="1" applyFont="1" applyFill="1" applyBorder="1" applyAlignment="1">
      <alignment horizontal="center" vertical="center" shrinkToFit="1"/>
    </xf>
    <xf numFmtId="0" fontId="28" fillId="11" borderId="281" xfId="0" applyNumberFormat="1" applyFont="1" applyFill="1" applyBorder="1" applyAlignment="1">
      <alignment horizontal="center" vertical="center" shrinkToFit="1"/>
    </xf>
    <xf numFmtId="0" fontId="28" fillId="11" borderId="282" xfId="0" applyNumberFormat="1" applyFont="1" applyFill="1" applyBorder="1" applyAlignment="1">
      <alignment horizontal="center" vertical="center" shrinkToFit="1"/>
    </xf>
    <xf numFmtId="176" fontId="17" fillId="10" borderId="397" xfId="0" applyNumberFormat="1" applyFont="1" applyFill="1" applyBorder="1" applyAlignment="1" applyProtection="1">
      <alignment horizontal="center" vertical="center" shrinkToFit="1"/>
    </xf>
    <xf numFmtId="176" fontId="17" fillId="10" borderId="328" xfId="0" quotePrefix="1" applyNumberFormat="1" applyFont="1" applyFill="1" applyBorder="1" applyAlignment="1" applyProtection="1">
      <alignment horizontal="center" vertical="center" shrinkToFit="1"/>
    </xf>
    <xf numFmtId="176" fontId="17" fillId="10" borderId="350" xfId="0" quotePrefix="1" applyNumberFormat="1" applyFont="1" applyFill="1" applyBorder="1" applyAlignment="1" applyProtection="1">
      <alignment horizontal="center" vertical="center" shrinkToFit="1"/>
    </xf>
    <xf numFmtId="0" fontId="17" fillId="10" borderId="393" xfId="0" applyNumberFormat="1" applyFont="1" applyFill="1" applyBorder="1" applyAlignment="1">
      <alignment horizontal="center" vertical="center" shrinkToFit="1"/>
    </xf>
    <xf numFmtId="0" fontId="17" fillId="10" borderId="394" xfId="0" applyNumberFormat="1" applyFont="1" applyFill="1" applyBorder="1" applyAlignment="1">
      <alignment horizontal="center" vertical="center" shrinkToFit="1"/>
    </xf>
    <xf numFmtId="0" fontId="17" fillId="10" borderId="395" xfId="0" applyNumberFormat="1" applyFont="1" applyFill="1" applyBorder="1" applyAlignment="1">
      <alignment horizontal="center" vertical="center" shrinkToFit="1"/>
    </xf>
    <xf numFmtId="0" fontId="17" fillId="10" borderId="220" xfId="0" applyNumberFormat="1" applyFont="1" applyFill="1" applyBorder="1" applyAlignment="1">
      <alignment horizontal="center" vertical="center" shrinkToFit="1"/>
    </xf>
    <xf numFmtId="0" fontId="17" fillId="10" borderId="328" xfId="0" applyNumberFormat="1" applyFont="1" applyFill="1" applyBorder="1" applyAlignment="1">
      <alignment horizontal="center" vertical="center" shrinkToFit="1"/>
    </xf>
    <xf numFmtId="0" fontId="17" fillId="10" borderId="204" xfId="0" applyNumberFormat="1" applyFont="1" applyFill="1" applyBorder="1" applyAlignment="1">
      <alignment horizontal="center" vertical="center" shrinkToFit="1"/>
    </xf>
    <xf numFmtId="0" fontId="17" fillId="10" borderId="148" xfId="0" applyNumberFormat="1" applyFont="1" applyFill="1" applyBorder="1" applyAlignment="1">
      <alignment horizontal="center" vertical="center" shrinkToFit="1"/>
    </xf>
    <xf numFmtId="0" fontId="17" fillId="10" borderId="349" xfId="0" applyNumberFormat="1" applyFont="1" applyFill="1" applyBorder="1" applyAlignment="1">
      <alignment horizontal="center" vertical="center" shrinkToFit="1"/>
    </xf>
    <xf numFmtId="0" fontId="17" fillId="10" borderId="328" xfId="0" quotePrefix="1" applyNumberFormat="1" applyFont="1" applyFill="1" applyBorder="1" applyAlignment="1">
      <alignment horizontal="center" vertical="center" shrinkToFit="1"/>
    </xf>
    <xf numFmtId="0" fontId="17" fillId="10" borderId="350" xfId="0" quotePrefix="1" applyNumberFormat="1" applyFont="1" applyFill="1" applyBorder="1" applyAlignment="1">
      <alignment horizontal="center" vertical="center" shrinkToFit="1"/>
    </xf>
    <xf numFmtId="0" fontId="17" fillId="10" borderId="368" xfId="0" applyNumberFormat="1" applyFont="1" applyFill="1" applyBorder="1" applyAlignment="1" applyProtection="1">
      <alignment horizontal="center" vertical="center" shrinkToFit="1"/>
    </xf>
    <xf numFmtId="0" fontId="17" fillId="10" borderId="148" xfId="0" applyNumberFormat="1" applyFont="1" applyFill="1" applyBorder="1" applyAlignment="1" applyProtection="1">
      <alignment horizontal="center" vertical="center" shrinkToFit="1"/>
    </xf>
    <xf numFmtId="0" fontId="17" fillId="10" borderId="379" xfId="0" applyNumberFormat="1" applyFont="1" applyFill="1" applyBorder="1" applyAlignment="1" applyProtection="1">
      <alignment horizontal="center" vertical="center" shrinkToFit="1"/>
    </xf>
    <xf numFmtId="0" fontId="17" fillId="10" borderId="362" xfId="0" applyNumberFormat="1" applyFont="1" applyFill="1" applyBorder="1" applyAlignment="1" applyProtection="1">
      <alignment horizontal="center" vertical="center" shrinkToFit="1"/>
    </xf>
    <xf numFmtId="0" fontId="17" fillId="10" borderId="363" xfId="0" applyNumberFormat="1" applyFont="1" applyFill="1" applyBorder="1" applyAlignment="1" applyProtection="1">
      <alignment horizontal="center" vertical="center" shrinkToFit="1"/>
    </xf>
    <xf numFmtId="0" fontId="17" fillId="10" borderId="328" xfId="0" applyNumberFormat="1" applyFont="1" applyFill="1" applyBorder="1" applyAlignment="1" applyProtection="1">
      <alignment horizontal="center" vertical="center" shrinkToFit="1"/>
    </xf>
    <xf numFmtId="0" fontId="17" fillId="10" borderId="350" xfId="0" applyNumberFormat="1" applyFont="1" applyFill="1" applyBorder="1" applyAlignment="1" applyProtection="1">
      <alignment horizontal="center" vertical="center" shrinkToFit="1"/>
    </xf>
    <xf numFmtId="0" fontId="80" fillId="10" borderId="144" xfId="0" applyNumberFormat="1" applyFont="1" applyFill="1" applyBorder="1" applyAlignment="1" applyProtection="1">
      <alignment horizontal="center" vertical="center" shrinkToFit="1"/>
    </xf>
    <xf numFmtId="0" fontId="80" fillId="10" borderId="122" xfId="0" applyNumberFormat="1" applyFont="1" applyFill="1" applyBorder="1" applyAlignment="1" applyProtection="1">
      <alignment horizontal="center" vertical="center" shrinkToFit="1"/>
    </xf>
    <xf numFmtId="0" fontId="39" fillId="10" borderId="122" xfId="0" applyNumberFormat="1" applyFont="1" applyFill="1" applyBorder="1" applyAlignment="1" applyProtection="1">
      <alignment horizontal="center" vertical="center" shrinkToFit="1"/>
    </xf>
    <xf numFmtId="176" fontId="17" fillId="10" borderId="349" xfId="0" applyNumberFormat="1" applyFont="1" applyFill="1" applyBorder="1" applyAlignment="1" applyProtection="1">
      <alignment horizontal="center" vertical="center" shrinkToFit="1"/>
    </xf>
    <xf numFmtId="0" fontId="17" fillId="10" borderId="150" xfId="0" applyNumberFormat="1" applyFont="1" applyFill="1" applyBorder="1" applyAlignment="1" applyProtection="1">
      <alignment horizontal="center" vertical="center" shrinkToFit="1"/>
    </xf>
    <xf numFmtId="0" fontId="17" fillId="10" borderId="204" xfId="0" applyNumberFormat="1" applyFont="1" applyFill="1" applyBorder="1" applyAlignment="1" applyProtection="1">
      <alignment horizontal="center" vertical="center" shrinkToFit="1"/>
    </xf>
    <xf numFmtId="0" fontId="17" fillId="10" borderId="154" xfId="0" applyNumberFormat="1" applyFont="1" applyFill="1" applyBorder="1" applyAlignment="1" applyProtection="1">
      <alignment horizontal="center" vertical="center" shrinkToFit="1"/>
    </xf>
    <xf numFmtId="0" fontId="17" fillId="10" borderId="46" xfId="0" applyNumberFormat="1" applyFont="1" applyFill="1" applyBorder="1" applyAlignment="1">
      <alignment horizontal="center" vertical="center" shrinkToFit="1"/>
    </xf>
    <xf numFmtId="0" fontId="17" fillId="10" borderId="378" xfId="0" applyNumberFormat="1" applyFont="1" applyFill="1" applyBorder="1" applyAlignment="1">
      <alignment horizontal="center" vertical="center" shrinkToFit="1"/>
    </xf>
    <xf numFmtId="0" fontId="17" fillId="10" borderId="195" xfId="0" applyNumberFormat="1" applyFont="1" applyFill="1" applyBorder="1" applyAlignment="1">
      <alignment horizontal="center" vertical="center" shrinkToFit="1"/>
    </xf>
    <xf numFmtId="0" fontId="17" fillId="10" borderId="338" xfId="0" applyNumberFormat="1" applyFont="1" applyFill="1" applyBorder="1" applyAlignment="1">
      <alignment horizontal="center" vertical="center" shrinkToFit="1"/>
    </xf>
    <xf numFmtId="0" fontId="17" fillId="10" borderId="219" xfId="0" applyNumberFormat="1" applyFont="1" applyFill="1" applyBorder="1" applyAlignment="1">
      <alignment horizontal="center" vertical="center" shrinkToFit="1"/>
    </xf>
    <xf numFmtId="0" fontId="17" fillId="10" borderId="214" xfId="0" applyNumberFormat="1" applyFont="1" applyFill="1" applyBorder="1" applyAlignment="1">
      <alignment horizontal="center" vertical="center" shrinkToFit="1"/>
    </xf>
    <xf numFmtId="0" fontId="17" fillId="10" borderId="146" xfId="0" applyNumberFormat="1" applyFont="1" applyFill="1" applyBorder="1" applyAlignment="1">
      <alignment horizontal="center" vertical="center" shrinkToFit="1"/>
    </xf>
    <xf numFmtId="0" fontId="17" fillId="10" borderId="203" xfId="0" applyNumberFormat="1" applyFont="1" applyFill="1" applyBorder="1" applyAlignment="1">
      <alignment horizontal="center" vertical="center" shrinkToFit="1"/>
    </xf>
    <xf numFmtId="0" fontId="17" fillId="10" borderId="368" xfId="0" applyNumberFormat="1" applyFont="1" applyFill="1" applyBorder="1" applyAlignment="1">
      <alignment horizontal="center" vertical="center" shrinkToFit="1"/>
    </xf>
    <xf numFmtId="178" fontId="17" fillId="10" borderId="328" xfId="0" applyNumberFormat="1" applyFont="1" applyFill="1" applyBorder="1" applyAlignment="1" applyProtection="1">
      <alignment horizontal="center" vertical="center" shrinkToFit="1"/>
    </xf>
    <xf numFmtId="178" fontId="17" fillId="10" borderId="328" xfId="0" quotePrefix="1" applyNumberFormat="1" applyFont="1" applyFill="1" applyBorder="1" applyAlignment="1" applyProtection="1">
      <alignment horizontal="center" vertical="center" shrinkToFit="1"/>
    </xf>
    <xf numFmtId="178" fontId="17" fillId="10" borderId="350" xfId="0" quotePrefix="1" applyNumberFormat="1" applyFont="1" applyFill="1" applyBorder="1" applyAlignment="1" applyProtection="1">
      <alignment horizontal="center" vertical="center" shrinkToFit="1"/>
    </xf>
    <xf numFmtId="178" fontId="17" fillId="10" borderId="349" xfId="0" applyNumberFormat="1" applyFont="1" applyFill="1" applyBorder="1" applyAlignment="1" applyProtection="1">
      <alignment horizontal="center" vertical="center" shrinkToFit="1"/>
    </xf>
    <xf numFmtId="0" fontId="17" fillId="10" borderId="145" xfId="0" applyNumberFormat="1" applyFont="1" applyFill="1" applyBorder="1" applyAlignment="1">
      <alignment horizontal="center" vertical="center" shrinkToFit="1"/>
    </xf>
    <xf numFmtId="0" fontId="17" fillId="10" borderId="49" xfId="0" applyNumberFormat="1" applyFont="1" applyFill="1" applyBorder="1" applyAlignment="1">
      <alignment horizontal="center" vertical="center" wrapText="1"/>
    </xf>
    <xf numFmtId="0" fontId="17" fillId="10" borderId="27" xfId="0" applyNumberFormat="1" applyFont="1" applyFill="1" applyBorder="1" applyAlignment="1">
      <alignment horizontal="center" vertical="center" wrapText="1"/>
    </xf>
    <xf numFmtId="0" fontId="17" fillId="10" borderId="50" xfId="0" applyNumberFormat="1" applyFont="1" applyFill="1" applyBorder="1" applyAlignment="1">
      <alignment horizontal="center" vertical="center" wrapText="1"/>
    </xf>
    <xf numFmtId="0" fontId="65" fillId="0" borderId="11" xfId="0" applyNumberFormat="1" applyFont="1" applyBorder="1" applyAlignment="1">
      <alignment horizontal="center" vertical="center" shrinkToFit="1"/>
    </xf>
    <xf numFmtId="0" fontId="65" fillId="0" borderId="385" xfId="0" applyNumberFormat="1" applyFont="1" applyBorder="1" applyAlignment="1">
      <alignment horizontal="center" vertical="center" shrinkToFit="1"/>
    </xf>
    <xf numFmtId="0" fontId="65" fillId="0" borderId="274" xfId="0" applyNumberFormat="1" applyFont="1" applyBorder="1" applyAlignment="1">
      <alignment horizontal="center" vertical="center" shrinkToFit="1"/>
    </xf>
    <xf numFmtId="0" fontId="1" fillId="0" borderId="255" xfId="0" applyNumberFormat="1" applyFont="1" applyFill="1" applyBorder="1" applyAlignment="1">
      <alignment horizontal="center" vertical="center" shrinkToFit="1"/>
    </xf>
    <xf numFmtId="0" fontId="1" fillId="0" borderId="260" xfId="0" applyNumberFormat="1" applyFont="1" applyFill="1" applyBorder="1" applyAlignment="1">
      <alignment horizontal="center" vertical="center" shrinkToFit="1"/>
    </xf>
    <xf numFmtId="0" fontId="1" fillId="0" borderId="330" xfId="0" applyNumberFormat="1" applyFont="1" applyFill="1" applyBorder="1" applyAlignment="1">
      <alignment horizontal="center" vertical="center" shrinkToFit="1"/>
    </xf>
    <xf numFmtId="0" fontId="1" fillId="0" borderId="226" xfId="0" applyNumberFormat="1" applyFont="1" applyFill="1" applyBorder="1" applyAlignment="1">
      <alignment horizontal="center" vertical="center" shrinkToFit="1"/>
    </xf>
    <xf numFmtId="0" fontId="1" fillId="0" borderId="227" xfId="0" applyNumberFormat="1" applyFont="1" applyFill="1" applyBorder="1" applyAlignment="1">
      <alignment horizontal="center" vertical="center" shrinkToFit="1"/>
    </xf>
    <xf numFmtId="0" fontId="0" fillId="0" borderId="390" xfId="0" applyNumberFormat="1" applyBorder="1" applyAlignment="1">
      <alignment horizontal="center" vertical="center"/>
    </xf>
    <xf numFmtId="0" fontId="0" fillId="0" borderId="147" xfId="0" applyNumberFormat="1" applyBorder="1" applyAlignment="1">
      <alignment horizontal="center" vertical="center"/>
    </xf>
    <xf numFmtId="0" fontId="0" fillId="0" borderId="387" xfId="0" applyNumberFormat="1" applyBorder="1" applyAlignment="1">
      <alignment horizontal="center" vertical="center"/>
    </xf>
    <xf numFmtId="0" fontId="0" fillId="0" borderId="332" xfId="0" applyNumberFormat="1" applyBorder="1" applyAlignment="1">
      <alignment horizontal="center" vertical="center"/>
    </xf>
    <xf numFmtId="0" fontId="0" fillId="0" borderId="262" xfId="0" applyNumberFormat="1" applyBorder="1" applyAlignment="1">
      <alignment horizontal="center" vertical="center"/>
    </xf>
    <xf numFmtId="0" fontId="0" fillId="0" borderId="263" xfId="0" applyNumberFormat="1" applyBorder="1" applyAlignment="1">
      <alignment horizontal="center" vertical="center"/>
    </xf>
    <xf numFmtId="0" fontId="65" fillId="0" borderId="170" xfId="0" applyNumberFormat="1" applyFont="1" applyBorder="1" applyAlignment="1">
      <alignment horizontal="center" vertical="center" shrinkToFit="1"/>
    </xf>
    <xf numFmtId="0" fontId="65" fillId="0" borderId="334" xfId="0" applyNumberFormat="1" applyFont="1" applyBorder="1" applyAlignment="1">
      <alignment horizontal="center" vertical="center" shrinkToFit="1"/>
    </xf>
    <xf numFmtId="0" fontId="1" fillId="0" borderId="198" xfId="0" applyNumberFormat="1" applyFont="1" applyBorder="1" applyAlignment="1">
      <alignment horizontal="center" vertical="center" shrinkToFit="1"/>
    </xf>
    <xf numFmtId="0" fontId="1" fillId="11" borderId="372" xfId="0" applyNumberFormat="1" applyFont="1" applyFill="1" applyBorder="1" applyAlignment="1">
      <alignment horizontal="center" vertical="center" shrinkToFit="1"/>
    </xf>
    <xf numFmtId="0" fontId="1" fillId="11" borderId="8" xfId="0" applyNumberFormat="1" applyFont="1" applyFill="1" applyBorder="1" applyAlignment="1">
      <alignment horizontal="center" vertical="center" shrinkToFit="1"/>
    </xf>
    <xf numFmtId="0" fontId="1" fillId="11" borderId="0" xfId="0" applyNumberFormat="1" applyFont="1" applyFill="1" applyBorder="1" applyAlignment="1">
      <alignment horizontal="center" vertical="center" shrinkToFit="1"/>
    </xf>
    <xf numFmtId="0" fontId="1" fillId="11" borderId="37" xfId="0" applyNumberFormat="1" applyFont="1" applyFill="1" applyBorder="1" applyAlignment="1">
      <alignment horizontal="center" vertical="center" shrinkToFit="1"/>
    </xf>
    <xf numFmtId="0" fontId="1" fillId="11" borderId="283" xfId="0" applyNumberFormat="1" applyFont="1" applyFill="1" applyBorder="1" applyAlignment="1">
      <alignment horizontal="center" vertical="center" shrinkToFit="1"/>
    </xf>
    <xf numFmtId="0" fontId="1" fillId="11" borderId="17" xfId="0" applyNumberFormat="1" applyFont="1" applyFill="1" applyBorder="1" applyAlignment="1">
      <alignment horizontal="center" vertical="center" shrinkToFit="1"/>
    </xf>
    <xf numFmtId="0" fontId="1" fillId="11" borderId="284" xfId="0" applyNumberFormat="1" applyFont="1" applyFill="1" applyBorder="1" applyAlignment="1">
      <alignment horizontal="center" vertical="center" shrinkToFit="1"/>
    </xf>
    <xf numFmtId="0" fontId="1" fillId="11" borderId="49" xfId="0" applyNumberFormat="1" applyFont="1" applyFill="1" applyBorder="1" applyAlignment="1">
      <alignment horizontal="center" vertical="center" wrapText="1" shrinkToFit="1"/>
    </xf>
    <xf numFmtId="0" fontId="1" fillId="11" borderId="27" xfId="0" applyNumberFormat="1" applyFont="1" applyFill="1" applyBorder="1" applyAlignment="1">
      <alignment horizontal="center" vertical="center" shrinkToFit="1"/>
    </xf>
    <xf numFmtId="0" fontId="1" fillId="11" borderId="70" xfId="0" applyNumberFormat="1" applyFont="1" applyFill="1" applyBorder="1" applyAlignment="1">
      <alignment horizontal="center" vertical="center" shrinkToFit="1"/>
    </xf>
    <xf numFmtId="0" fontId="7" fillId="0" borderId="266" xfId="0" applyNumberFormat="1" applyFont="1" applyFill="1" applyBorder="1" applyAlignment="1">
      <alignment horizontal="center" vertical="center" shrinkToFit="1"/>
    </xf>
    <xf numFmtId="0" fontId="7" fillId="0" borderId="375" xfId="0" applyNumberFormat="1" applyFont="1" applyFill="1" applyBorder="1" applyAlignment="1">
      <alignment horizontal="center" vertical="center" shrinkToFit="1"/>
    </xf>
    <xf numFmtId="0" fontId="7" fillId="0" borderId="376" xfId="0" applyNumberFormat="1" applyFont="1" applyFill="1" applyBorder="1" applyAlignment="1">
      <alignment horizontal="center" vertical="center" shrinkToFit="1"/>
    </xf>
    <xf numFmtId="0" fontId="30" fillId="0" borderId="266" xfId="0" applyNumberFormat="1" applyFont="1" applyFill="1" applyBorder="1" applyAlignment="1">
      <alignment horizontal="center" vertical="center" wrapText="1" shrinkToFit="1"/>
    </xf>
    <xf numFmtId="0" fontId="30" fillId="0" borderId="201" xfId="0" applyNumberFormat="1" applyFont="1" applyFill="1" applyBorder="1" applyAlignment="1">
      <alignment horizontal="center" vertical="center" shrinkToFit="1"/>
    </xf>
    <xf numFmtId="0" fontId="1" fillId="0" borderId="377" xfId="0" applyNumberFormat="1" applyFont="1" applyBorder="1" applyAlignment="1">
      <alignment horizontal="center" vertical="center" shrinkToFit="1"/>
    </xf>
    <xf numFmtId="0" fontId="1" fillId="6" borderId="198" xfId="0" applyNumberFormat="1" applyFont="1" applyFill="1" applyBorder="1" applyAlignment="1" applyProtection="1">
      <alignment horizontal="center" vertical="center" shrinkToFit="1"/>
    </xf>
    <xf numFmtId="0" fontId="1" fillId="6" borderId="365" xfId="0" applyNumberFormat="1" applyFont="1" applyFill="1" applyBorder="1" applyAlignment="1" applyProtection="1">
      <alignment horizontal="center" vertical="center" shrinkToFit="1"/>
    </xf>
    <xf numFmtId="0" fontId="61" fillId="6" borderId="332" xfId="0" applyNumberFormat="1" applyFont="1" applyFill="1" applyBorder="1" applyAlignment="1" applyProtection="1">
      <alignment horizontal="center" vertical="center" shrinkToFit="1"/>
    </xf>
    <xf numFmtId="0" fontId="61" fillId="6" borderId="262" xfId="0" applyNumberFormat="1" applyFont="1" applyFill="1" applyBorder="1" applyAlignment="1" applyProtection="1">
      <alignment vertical="center"/>
    </xf>
    <xf numFmtId="0" fontId="61" fillId="6" borderId="263" xfId="0" applyNumberFormat="1" applyFont="1" applyFill="1" applyBorder="1" applyAlignment="1" applyProtection="1">
      <alignment vertical="center"/>
    </xf>
    <xf numFmtId="0" fontId="68" fillId="6" borderId="332" xfId="0" applyNumberFormat="1" applyFont="1" applyFill="1" applyBorder="1" applyAlignment="1" applyProtection="1">
      <alignment horizontal="center" vertical="center" shrinkToFit="1"/>
    </xf>
    <xf numFmtId="0" fontId="68" fillId="6" borderId="262" xfId="0" applyNumberFormat="1" applyFont="1" applyFill="1" applyBorder="1" applyAlignment="1" applyProtection="1">
      <alignment vertical="center"/>
    </xf>
    <xf numFmtId="0" fontId="68" fillId="6" borderId="263" xfId="0" applyNumberFormat="1" applyFont="1" applyFill="1" applyBorder="1" applyAlignment="1" applyProtection="1">
      <alignment vertical="center"/>
    </xf>
    <xf numFmtId="0" fontId="68" fillId="6" borderId="266" xfId="0" applyNumberFormat="1" applyFont="1" applyFill="1" applyBorder="1" applyAlignment="1" applyProtection="1">
      <alignment horizontal="center" vertical="center" shrinkToFit="1"/>
    </xf>
    <xf numFmtId="0" fontId="68" fillId="6" borderId="201" xfId="0" applyNumberFormat="1" applyFont="1" applyFill="1" applyBorder="1" applyAlignment="1" applyProtection="1">
      <alignment vertical="center"/>
    </xf>
    <xf numFmtId="0" fontId="68" fillId="6" borderId="44" xfId="0" applyNumberFormat="1" applyFont="1" applyFill="1" applyBorder="1" applyAlignment="1" applyProtection="1">
      <alignment vertical="center"/>
    </xf>
    <xf numFmtId="0" fontId="1" fillId="0" borderId="339" xfId="0" applyNumberFormat="1" applyFont="1" applyBorder="1" applyAlignment="1">
      <alignment horizontal="center" vertical="center" shrinkToFit="1"/>
    </xf>
    <xf numFmtId="0" fontId="1" fillId="0" borderId="340" xfId="0" applyNumberFormat="1" applyFont="1" applyBorder="1" applyAlignment="1">
      <alignment horizontal="center" vertical="center" shrinkToFit="1"/>
    </xf>
    <xf numFmtId="0" fontId="7" fillId="0" borderId="262" xfId="0" applyNumberFormat="1" applyFont="1" applyFill="1" applyBorder="1" applyAlignment="1">
      <alignment horizontal="center" vertical="center" shrinkToFit="1"/>
    </xf>
    <xf numFmtId="0" fontId="7" fillId="0" borderId="263" xfId="0" applyNumberFormat="1" applyFont="1" applyFill="1" applyBorder="1" applyAlignment="1">
      <alignment horizontal="center" vertical="center" shrinkToFit="1"/>
    </xf>
    <xf numFmtId="0" fontId="28" fillId="11" borderId="49" xfId="0" applyNumberFormat="1" applyFont="1" applyFill="1" applyBorder="1" applyAlignment="1">
      <alignment horizontal="center" vertical="center" wrapText="1" shrinkToFit="1"/>
    </xf>
    <xf numFmtId="0" fontId="28" fillId="11" borderId="27" xfId="0" applyNumberFormat="1" applyFont="1" applyFill="1" applyBorder="1" applyAlignment="1">
      <alignment horizontal="center" vertical="center" wrapText="1" shrinkToFit="1"/>
    </xf>
    <xf numFmtId="0" fontId="28" fillId="11" borderId="70" xfId="0" applyNumberFormat="1" applyFont="1" applyFill="1" applyBorder="1" applyAlignment="1">
      <alignment horizontal="center" vertical="center" wrapText="1" shrinkToFit="1"/>
    </xf>
    <xf numFmtId="0" fontId="1" fillId="11" borderId="147" xfId="0" applyNumberFormat="1" applyFont="1" applyFill="1" applyBorder="1" applyAlignment="1">
      <alignment horizontal="center" vertical="center" shrinkToFit="1"/>
    </xf>
    <xf numFmtId="0" fontId="1" fillId="11" borderId="286" xfId="0" applyNumberFormat="1" applyFont="1" applyFill="1" applyBorder="1" applyAlignment="1">
      <alignment horizontal="center" vertical="center" shrinkToFit="1"/>
    </xf>
    <xf numFmtId="0" fontId="28" fillId="11" borderId="287" xfId="0" applyNumberFormat="1" applyFont="1" applyFill="1" applyBorder="1" applyAlignment="1">
      <alignment horizontal="center" vertical="center" shrinkToFit="1"/>
    </xf>
    <xf numFmtId="0" fontId="28" fillId="11" borderId="288" xfId="0" applyNumberFormat="1" applyFont="1" applyFill="1" applyBorder="1" applyAlignment="1">
      <alignment horizontal="center" vertical="center" shrinkToFit="1"/>
    </xf>
    <xf numFmtId="0" fontId="28" fillId="11" borderId="369" xfId="0" applyNumberFormat="1" applyFont="1" applyFill="1" applyBorder="1" applyAlignment="1">
      <alignment horizontal="center" vertical="center" shrinkToFit="1"/>
    </xf>
    <xf numFmtId="0" fontId="28" fillId="11" borderId="85" xfId="0" applyNumberFormat="1" applyFont="1" applyFill="1" applyBorder="1" applyAlignment="1">
      <alignment horizontal="center" vertical="center" shrinkToFit="1"/>
    </xf>
    <xf numFmtId="0" fontId="28" fillId="11" borderId="4" xfId="0" applyNumberFormat="1" applyFont="1" applyFill="1" applyBorder="1" applyAlignment="1">
      <alignment horizontal="center" vertical="center" shrinkToFit="1"/>
    </xf>
    <xf numFmtId="0" fontId="28" fillId="11" borderId="236" xfId="0" applyNumberFormat="1" applyFont="1" applyFill="1" applyBorder="1" applyAlignment="1">
      <alignment horizontal="center" vertical="center" shrinkToFit="1"/>
    </xf>
    <xf numFmtId="0" fontId="1" fillId="11" borderId="198" xfId="0" applyNumberFormat="1" applyFont="1" applyFill="1" applyBorder="1" applyAlignment="1">
      <alignment horizontal="center" vertical="center" shrinkToFit="1"/>
    </xf>
    <xf numFmtId="0" fontId="1" fillId="11" borderId="365" xfId="0" applyNumberFormat="1" applyFont="1" applyFill="1" applyBorder="1" applyAlignment="1">
      <alignment horizontal="center" vertical="center" shrinkToFit="1"/>
    </xf>
    <xf numFmtId="0" fontId="1" fillId="11" borderId="216" xfId="0" applyNumberFormat="1" applyFont="1" applyFill="1" applyBorder="1" applyAlignment="1">
      <alignment horizontal="center" vertical="center" shrinkToFit="1"/>
    </xf>
    <xf numFmtId="0" fontId="1" fillId="11" borderId="320" xfId="0" applyNumberFormat="1" applyFont="1" applyFill="1" applyBorder="1" applyAlignment="1">
      <alignment horizontal="center" vertical="center" shrinkToFit="1"/>
    </xf>
    <xf numFmtId="0" fontId="1" fillId="11" borderId="213" xfId="0" applyNumberFormat="1" applyFont="1" applyFill="1" applyBorder="1" applyAlignment="1">
      <alignment horizontal="center" vertical="center" shrinkToFit="1"/>
    </xf>
    <xf numFmtId="0" fontId="1" fillId="11" borderId="217" xfId="0" applyNumberFormat="1" applyFont="1" applyFill="1" applyBorder="1" applyAlignment="1">
      <alignment horizontal="center" vertical="center" shrinkToFit="1"/>
    </xf>
    <xf numFmtId="0" fontId="1" fillId="11" borderId="66" xfId="0" applyNumberFormat="1" applyFont="1" applyFill="1" applyBorder="1" applyAlignment="1">
      <alignment horizontal="center" vertical="center" shrinkToFit="1"/>
    </xf>
    <xf numFmtId="0" fontId="1" fillId="11" borderId="67" xfId="0" applyNumberFormat="1" applyFont="1" applyFill="1" applyBorder="1" applyAlignment="1">
      <alignment horizontal="center" vertical="center" shrinkToFit="1"/>
    </xf>
    <xf numFmtId="0" fontId="1" fillId="11" borderId="239" xfId="0" applyNumberFormat="1" applyFont="1" applyFill="1" applyBorder="1" applyAlignment="1">
      <alignment horizontal="center" vertical="center" shrinkToFit="1"/>
    </xf>
    <xf numFmtId="0" fontId="1" fillId="11" borderId="251" xfId="0" applyNumberFormat="1" applyFont="1" applyFill="1" applyBorder="1" applyAlignment="1">
      <alignment horizontal="center" vertical="center" wrapText="1" shrinkToFit="1"/>
    </xf>
    <xf numFmtId="0" fontId="24" fillId="11" borderId="251" xfId="0" applyNumberFormat="1" applyFont="1" applyFill="1" applyBorder="1" applyAlignment="1">
      <alignment horizontal="center" vertical="center" wrapText="1" shrinkToFit="1"/>
    </xf>
    <xf numFmtId="0" fontId="24" fillId="11" borderId="66" xfId="0" applyNumberFormat="1" applyFont="1" applyFill="1" applyBorder="1" applyAlignment="1">
      <alignment horizontal="center" vertical="center" wrapText="1" shrinkToFit="1"/>
    </xf>
    <xf numFmtId="0" fontId="37" fillId="11" borderId="49" xfId="0" applyNumberFormat="1" applyFont="1" applyFill="1" applyBorder="1" applyAlignment="1">
      <alignment horizontal="center" vertical="center" wrapText="1" shrinkToFit="1"/>
    </xf>
    <xf numFmtId="0" fontId="37" fillId="11" borderId="27" xfId="0" applyNumberFormat="1" applyFont="1" applyFill="1" applyBorder="1" applyAlignment="1">
      <alignment horizontal="center" vertical="center" wrapText="1" shrinkToFit="1"/>
    </xf>
    <xf numFmtId="0" fontId="37" fillId="11" borderId="70" xfId="0" applyNumberFormat="1" applyFont="1" applyFill="1" applyBorder="1" applyAlignment="1">
      <alignment horizontal="center" vertical="center" wrapText="1" shrinkToFit="1"/>
    </xf>
    <xf numFmtId="0" fontId="1" fillId="11" borderId="289" xfId="0" applyNumberFormat="1" applyFont="1" applyFill="1" applyBorder="1" applyAlignment="1">
      <alignment horizontal="center" vertical="center" wrapText="1" shrinkToFit="1"/>
    </xf>
    <xf numFmtId="0" fontId="0" fillId="11" borderId="55" xfId="0" applyNumberFormat="1" applyFill="1" applyBorder="1" applyAlignment="1">
      <alignment vertical="center"/>
    </xf>
    <xf numFmtId="0" fontId="0" fillId="11" borderId="370" xfId="0" applyNumberFormat="1" applyFill="1" applyBorder="1" applyAlignment="1">
      <alignment vertical="center"/>
    </xf>
    <xf numFmtId="0" fontId="1" fillId="11" borderId="371" xfId="0" applyNumberFormat="1" applyFont="1" applyFill="1" applyBorder="1" applyAlignment="1">
      <alignment horizontal="center" vertical="center" shrinkToFit="1"/>
    </xf>
    <xf numFmtId="0" fontId="1" fillId="11" borderId="355" xfId="0" applyNumberFormat="1" applyFont="1" applyFill="1" applyBorder="1" applyAlignment="1">
      <alignment horizontal="center" vertical="center" shrinkToFit="1"/>
    </xf>
    <xf numFmtId="0" fontId="1" fillId="11" borderId="188" xfId="0" applyNumberFormat="1" applyFont="1" applyFill="1" applyBorder="1" applyAlignment="1">
      <alignment horizontal="center" vertical="center" shrinkToFit="1"/>
    </xf>
    <xf numFmtId="0" fontId="1" fillId="11" borderId="33" xfId="0" applyNumberFormat="1" applyFont="1" applyFill="1" applyBorder="1" applyAlignment="1">
      <alignment horizontal="center" vertical="center" shrinkToFit="1"/>
    </xf>
    <xf numFmtId="0" fontId="1" fillId="11" borderId="373" xfId="0" applyNumberFormat="1" applyFont="1" applyFill="1" applyBorder="1" applyAlignment="1">
      <alignment horizontal="center" vertical="center" shrinkToFit="1"/>
    </xf>
    <xf numFmtId="0" fontId="1" fillId="11" borderId="374" xfId="0" applyNumberFormat="1" applyFont="1" applyFill="1" applyBorder="1" applyAlignment="1">
      <alignment horizontal="center" vertical="center" shrinkToFit="1"/>
    </xf>
    <xf numFmtId="0" fontId="1" fillId="11" borderId="329" xfId="0" applyNumberFormat="1" applyFont="1" applyFill="1" applyBorder="1" applyAlignment="1" applyProtection="1">
      <alignment horizontal="center" vertical="center" shrinkToFit="1"/>
    </xf>
    <xf numFmtId="0" fontId="17" fillId="10" borderId="214" xfId="0" applyNumberFormat="1" applyFont="1" applyFill="1" applyBorder="1" applyAlignment="1" applyProtection="1">
      <alignment horizontal="center" vertical="center" shrinkToFit="1"/>
    </xf>
    <xf numFmtId="0" fontId="1" fillId="0" borderId="339" xfId="0" applyNumberFormat="1" applyFont="1" applyFill="1" applyBorder="1" applyAlignment="1" applyProtection="1">
      <alignment horizontal="center" vertical="center" shrinkToFit="1"/>
    </xf>
    <xf numFmtId="0" fontId="1" fillId="0" borderId="198" xfId="0" applyNumberFormat="1" applyFont="1" applyFill="1" applyBorder="1" applyAlignment="1" applyProtection="1">
      <alignment horizontal="center" vertical="center" shrinkToFit="1"/>
    </xf>
    <xf numFmtId="0" fontId="5" fillId="0" borderId="334" xfId="0" applyNumberFormat="1" applyFont="1" applyFill="1" applyBorder="1" applyAlignment="1" applyProtection="1">
      <alignment horizontal="center" vertical="center" shrinkToFit="1"/>
    </xf>
    <xf numFmtId="0" fontId="5" fillId="0" borderId="323" xfId="0" applyNumberFormat="1" applyFont="1" applyFill="1" applyBorder="1" applyAlignment="1" applyProtection="1">
      <alignment vertical="center"/>
    </xf>
    <xf numFmtId="0" fontId="5" fillId="0" borderId="273" xfId="0" applyNumberFormat="1" applyFont="1" applyFill="1" applyBorder="1" applyAlignment="1" applyProtection="1">
      <alignment vertical="center"/>
    </xf>
    <xf numFmtId="0" fontId="7" fillId="0" borderId="262" xfId="0" applyNumberFormat="1" applyFont="1" applyFill="1" applyBorder="1" applyAlignment="1" applyProtection="1">
      <alignment vertical="center"/>
    </xf>
    <xf numFmtId="0" fontId="7" fillId="0" borderId="263" xfId="0" applyNumberFormat="1" applyFont="1" applyFill="1" applyBorder="1" applyAlignment="1" applyProtection="1">
      <alignment vertical="center"/>
    </xf>
    <xf numFmtId="0" fontId="1" fillId="15" borderId="336" xfId="0" applyNumberFormat="1" applyFont="1" applyFill="1" applyBorder="1" applyAlignment="1" applyProtection="1">
      <alignment horizontal="center" vertical="center" shrinkToFit="1"/>
    </xf>
    <xf numFmtId="0" fontId="1" fillId="15" borderId="337" xfId="0" applyNumberFormat="1" applyFont="1" applyFill="1" applyBorder="1" applyAlignment="1" applyProtection="1">
      <alignment horizontal="center" vertical="center" shrinkToFit="1"/>
    </xf>
    <xf numFmtId="0" fontId="1" fillId="15" borderId="381" xfId="0" applyNumberFormat="1" applyFont="1" applyFill="1" applyBorder="1" applyAlignment="1" applyProtection="1">
      <alignment horizontal="center" vertical="center" shrinkToFit="1"/>
    </xf>
    <xf numFmtId="0" fontId="17" fillId="10" borderId="192" xfId="0" applyNumberFormat="1" applyFont="1" applyFill="1" applyBorder="1" applyAlignment="1" applyProtection="1">
      <alignment horizontal="center" vertical="center" shrinkToFit="1"/>
    </xf>
    <xf numFmtId="0" fontId="17" fillId="10" borderId="192" xfId="0" quotePrefix="1" applyNumberFormat="1" applyFont="1" applyFill="1" applyBorder="1" applyAlignment="1" applyProtection="1">
      <alignment horizontal="center" vertical="center" shrinkToFit="1"/>
    </xf>
    <xf numFmtId="0" fontId="17" fillId="10" borderId="380" xfId="0" quotePrefix="1" applyNumberFormat="1" applyFont="1" applyFill="1" applyBorder="1" applyAlignment="1" applyProtection="1">
      <alignment horizontal="center" vertical="center" shrinkToFit="1"/>
    </xf>
    <xf numFmtId="0" fontId="17" fillId="10" borderId="392" xfId="0" applyNumberFormat="1" applyFont="1" applyFill="1" applyBorder="1" applyAlignment="1" applyProtection="1">
      <alignment horizontal="center" vertical="center" shrinkToFit="1"/>
    </xf>
    <xf numFmtId="0" fontId="17" fillId="10" borderId="45" xfId="0" applyNumberFormat="1" applyFont="1" applyFill="1" applyBorder="1" applyAlignment="1" applyProtection="1">
      <alignment horizontal="center" vertical="center" shrinkToFit="1"/>
    </xf>
    <xf numFmtId="0" fontId="17" fillId="10" borderId="378" xfId="0" applyNumberFormat="1" applyFont="1" applyFill="1" applyBorder="1" applyAlignment="1" applyProtection="1">
      <alignment horizontal="center" vertical="center" shrinkToFit="1"/>
    </xf>
    <xf numFmtId="0" fontId="17" fillId="10" borderId="364" xfId="0" applyNumberFormat="1" applyFont="1" applyFill="1" applyBorder="1" applyAlignment="1" applyProtection="1">
      <alignment horizontal="center" vertical="center" shrinkToFit="1"/>
    </xf>
    <xf numFmtId="0" fontId="17" fillId="10" borderId="349" xfId="0" applyNumberFormat="1" applyFont="1" applyFill="1" applyBorder="1" applyAlignment="1" applyProtection="1">
      <alignment horizontal="center" vertical="center" shrinkToFit="1"/>
    </xf>
    <xf numFmtId="0" fontId="17" fillId="10" borderId="220" xfId="0" applyNumberFormat="1" applyFont="1" applyFill="1" applyBorder="1" applyAlignment="1" applyProtection="1">
      <alignment horizontal="center" vertical="center" shrinkToFit="1"/>
    </xf>
    <xf numFmtId="0" fontId="17" fillId="10" borderId="40" xfId="0" applyNumberFormat="1" applyFont="1" applyFill="1" applyBorder="1" applyAlignment="1" applyProtection="1">
      <alignment horizontal="center" vertical="center" shrinkToFit="1"/>
    </xf>
    <xf numFmtId="0" fontId="17" fillId="10" borderId="67" xfId="0" applyNumberFormat="1" applyFont="1" applyFill="1" applyBorder="1" applyAlignment="1" applyProtection="1">
      <alignment horizontal="center" vertical="center" shrinkToFit="1"/>
    </xf>
    <xf numFmtId="0" fontId="3" fillId="3" borderId="173" xfId="0" applyNumberFormat="1" applyFont="1" applyFill="1" applyBorder="1" applyAlignment="1" applyProtection="1">
      <alignment horizontal="center" vertical="center" shrinkToFit="1"/>
    </xf>
    <xf numFmtId="0" fontId="3" fillId="3" borderId="174" xfId="0" applyNumberFormat="1" applyFont="1" applyFill="1" applyBorder="1" applyAlignment="1" applyProtection="1">
      <alignment horizontal="center" vertical="center" shrinkToFit="1"/>
    </xf>
    <xf numFmtId="0" fontId="3" fillId="3" borderId="266" xfId="0" applyNumberFormat="1" applyFont="1" applyFill="1" applyBorder="1" applyAlignment="1" applyProtection="1">
      <alignment horizontal="center" vertical="center" shrinkToFit="1"/>
    </xf>
    <xf numFmtId="0" fontId="3" fillId="3" borderId="201" xfId="0" applyNumberFormat="1" applyFont="1" applyFill="1" applyBorder="1" applyAlignment="1" applyProtection="1">
      <alignment horizontal="center" vertical="center" shrinkToFit="1"/>
    </xf>
    <xf numFmtId="0" fontId="3" fillId="3" borderId="44" xfId="0" applyNumberFormat="1" applyFont="1" applyFill="1" applyBorder="1" applyAlignment="1" applyProtection="1">
      <alignment horizontal="center" vertical="center" shrinkToFit="1"/>
    </xf>
    <xf numFmtId="0" fontId="5" fillId="0" borderId="173" xfId="0" applyNumberFormat="1" applyFont="1" applyFill="1" applyBorder="1" applyAlignment="1" applyProtection="1">
      <alignment horizontal="center" vertical="center" wrapText="1" shrinkToFit="1"/>
    </xf>
    <xf numFmtId="0" fontId="5" fillId="0" borderId="173" xfId="0" applyNumberFormat="1" applyFont="1" applyFill="1" applyBorder="1" applyAlignment="1" applyProtection="1">
      <alignment horizontal="center" vertical="center" shrinkToFit="1"/>
    </xf>
    <xf numFmtId="0" fontId="5" fillId="0" borderId="266" xfId="0" applyNumberFormat="1" applyFont="1" applyFill="1" applyBorder="1" applyAlignment="1" applyProtection="1">
      <alignment horizontal="center" vertical="center" shrinkToFit="1"/>
    </xf>
    <xf numFmtId="0" fontId="3" fillId="0" borderId="332" xfId="0" applyNumberFormat="1" applyFont="1" applyFill="1" applyBorder="1" applyAlignment="1" applyProtection="1">
      <alignment vertical="center" shrinkToFit="1"/>
    </xf>
    <xf numFmtId="0" fontId="13" fillId="5" borderId="266" xfId="0" applyNumberFormat="1" applyFont="1" applyFill="1" applyBorder="1" applyAlignment="1" applyProtection="1">
      <alignment horizontal="center" vertical="center" shrinkToFit="1"/>
    </xf>
    <xf numFmtId="0" fontId="13" fillId="5" borderId="201" xfId="0" applyNumberFormat="1" applyFont="1" applyFill="1" applyBorder="1" applyAlignment="1" applyProtection="1">
      <alignment vertical="center"/>
    </xf>
    <xf numFmtId="0" fontId="13" fillId="5" borderId="44" xfId="0" applyNumberFormat="1" applyFont="1" applyFill="1" applyBorder="1" applyAlignment="1" applyProtection="1">
      <alignment vertical="center"/>
    </xf>
    <xf numFmtId="0" fontId="13" fillId="8" borderId="266" xfId="0" applyNumberFormat="1" applyFont="1" applyFill="1" applyBorder="1" applyAlignment="1" applyProtection="1">
      <alignment horizontal="center" vertical="center" shrinkToFit="1"/>
    </xf>
    <xf numFmtId="0" fontId="13" fillId="8" borderId="201" xfId="0" applyNumberFormat="1" applyFont="1" applyFill="1" applyBorder="1" applyAlignment="1" applyProtection="1">
      <alignment vertical="center"/>
    </xf>
    <xf numFmtId="0" fontId="13" fillId="8" borderId="44" xfId="0" applyNumberFormat="1" applyFont="1" applyFill="1" applyBorder="1" applyAlignment="1" applyProtection="1">
      <alignment vertical="center"/>
    </xf>
    <xf numFmtId="0" fontId="1" fillId="5" borderId="254" xfId="0" applyNumberFormat="1" applyFont="1" applyFill="1" applyBorder="1" applyAlignment="1" applyProtection="1">
      <alignment horizontal="center" vertical="center" shrinkToFit="1"/>
    </xf>
    <xf numFmtId="0" fontId="1" fillId="5" borderId="255" xfId="0" applyNumberFormat="1" applyFont="1" applyFill="1" applyBorder="1" applyAlignment="1" applyProtection="1">
      <alignment horizontal="center" vertical="center" shrinkToFit="1"/>
    </xf>
    <xf numFmtId="0" fontId="1" fillId="5" borderId="384" xfId="0" applyNumberFormat="1" applyFont="1" applyFill="1" applyBorder="1" applyAlignment="1" applyProtection="1">
      <alignment horizontal="center" vertical="center" shrinkToFit="1"/>
    </xf>
    <xf numFmtId="0" fontId="17" fillId="10" borderId="190" xfId="0" applyNumberFormat="1" applyFont="1" applyFill="1" applyBorder="1" applyAlignment="1" applyProtection="1">
      <alignment horizontal="center" vertical="center" shrinkToFit="1"/>
    </xf>
    <xf numFmtId="0" fontId="13" fillId="5" borderId="201" xfId="0" applyNumberFormat="1" applyFont="1" applyFill="1" applyBorder="1" applyAlignment="1" applyProtection="1">
      <alignment horizontal="center" vertical="center" shrinkToFit="1"/>
    </xf>
    <xf numFmtId="0" fontId="13" fillId="5" borderId="44" xfId="0" applyNumberFormat="1" applyFont="1" applyFill="1" applyBorder="1" applyAlignment="1" applyProtection="1">
      <alignment horizontal="center" vertical="center" shrinkToFit="1"/>
    </xf>
    <xf numFmtId="0" fontId="13" fillId="5" borderId="332" xfId="0" applyNumberFormat="1" applyFont="1" applyFill="1" applyBorder="1" applyAlignment="1" applyProtection="1">
      <alignment horizontal="center" vertical="center" shrinkToFit="1"/>
    </xf>
    <xf numFmtId="0" fontId="13" fillId="5" borderId="262" xfId="0" applyNumberFormat="1" applyFont="1" applyFill="1" applyBorder="1" applyAlignment="1" applyProtection="1">
      <alignment horizontal="center" vertical="center" shrinkToFit="1"/>
    </xf>
    <xf numFmtId="0" fontId="13" fillId="5" borderId="263" xfId="0" applyNumberFormat="1" applyFont="1" applyFill="1" applyBorder="1" applyAlignment="1" applyProtection="1">
      <alignment horizontal="center" vertical="center" shrinkToFit="1"/>
    </xf>
    <xf numFmtId="0" fontId="26" fillId="5" borderId="266" xfId="0" applyNumberFormat="1" applyFont="1" applyFill="1" applyBorder="1" applyAlignment="1" applyProtection="1">
      <alignment horizontal="center" vertical="center" shrinkToFit="1"/>
    </xf>
    <xf numFmtId="0" fontId="26" fillId="5" borderId="201" xfId="0" applyNumberFormat="1" applyFont="1" applyFill="1" applyBorder="1" applyAlignment="1" applyProtection="1">
      <alignment horizontal="center" vertical="center" shrinkToFit="1"/>
    </xf>
    <xf numFmtId="0" fontId="26" fillId="5" borderId="44" xfId="0" applyNumberFormat="1" applyFont="1" applyFill="1" applyBorder="1" applyAlignment="1" applyProtection="1">
      <alignment horizontal="center" vertical="center" shrinkToFit="1"/>
    </xf>
    <xf numFmtId="0" fontId="1" fillId="7" borderId="225" xfId="0" applyNumberFormat="1" applyFont="1" applyFill="1" applyBorder="1" applyAlignment="1" applyProtection="1">
      <alignment horizontal="center" vertical="center" shrinkToFit="1"/>
    </xf>
    <xf numFmtId="0" fontId="1" fillId="7" borderId="353" xfId="0" applyNumberFormat="1" applyFont="1" applyFill="1" applyBorder="1" applyAlignment="1" applyProtection="1">
      <alignment horizontal="center" vertical="center" shrinkToFit="1"/>
    </xf>
    <xf numFmtId="0" fontId="17" fillId="10" borderId="196" xfId="0" applyNumberFormat="1" applyFont="1" applyFill="1" applyBorder="1" applyAlignment="1" applyProtection="1">
      <alignment horizontal="center" vertical="center" shrinkToFit="1"/>
    </xf>
    <xf numFmtId="0" fontId="9" fillId="0" borderId="173" xfId="0" applyNumberFormat="1" applyFont="1" applyFill="1" applyBorder="1" applyAlignment="1" applyProtection="1">
      <alignment horizontal="center" vertical="center" shrinkToFit="1"/>
    </xf>
    <xf numFmtId="0" fontId="9" fillId="0" borderId="174" xfId="0" applyNumberFormat="1" applyFont="1" applyFill="1" applyBorder="1" applyAlignment="1" applyProtection="1">
      <alignment horizontal="center" vertical="center" shrinkToFit="1"/>
    </xf>
    <xf numFmtId="0" fontId="13" fillId="0" borderId="173" xfId="0" applyNumberFormat="1" applyFont="1" applyFill="1" applyBorder="1" applyAlignment="1" applyProtection="1">
      <alignment horizontal="center" vertical="center" wrapText="1" shrinkToFit="1"/>
    </xf>
    <xf numFmtId="0" fontId="1" fillId="0" borderId="340" xfId="0" applyNumberFormat="1" applyFont="1" applyFill="1" applyBorder="1" applyAlignment="1" applyProtection="1">
      <alignment horizontal="center" vertical="center" shrinkToFit="1"/>
    </xf>
    <xf numFmtId="0" fontId="13" fillId="3" borderId="173" xfId="0" applyNumberFormat="1" applyFont="1" applyFill="1" applyBorder="1" applyAlignment="1" applyProtection="1">
      <alignment horizontal="center" vertical="center" wrapText="1" shrinkToFit="1"/>
    </xf>
    <xf numFmtId="0" fontId="13" fillId="3" borderId="174" xfId="0" applyNumberFormat="1" applyFont="1" applyFill="1" applyBorder="1" applyAlignment="1" applyProtection="1">
      <alignment horizontal="center" vertical="center" wrapText="1" shrinkToFit="1"/>
    </xf>
    <xf numFmtId="0" fontId="1" fillId="13" borderId="330" xfId="0" applyNumberFormat="1" applyFont="1" applyFill="1" applyBorder="1" applyAlignment="1">
      <alignment horizontal="center" vertical="center" wrapText="1"/>
    </xf>
    <xf numFmtId="0" fontId="1" fillId="13" borderId="226" xfId="0" applyNumberFormat="1" applyFont="1" applyFill="1" applyBorder="1" applyAlignment="1">
      <alignment horizontal="center" vertical="center" wrapText="1"/>
    </xf>
    <xf numFmtId="0" fontId="1" fillId="13" borderId="227" xfId="0" applyNumberFormat="1" applyFont="1" applyFill="1" applyBorder="1" applyAlignment="1">
      <alignment horizontal="center" vertical="center" wrapText="1"/>
    </xf>
    <xf numFmtId="0" fontId="3" fillId="3" borderId="314" xfId="0" applyNumberFormat="1" applyFont="1" applyFill="1" applyBorder="1" applyAlignment="1">
      <alignment horizontal="center" vertical="center" shrinkToFit="1"/>
    </xf>
    <xf numFmtId="0" fontId="3" fillId="3" borderId="332" xfId="0" applyNumberFormat="1" applyFont="1" applyFill="1" applyBorder="1" applyAlignment="1">
      <alignment horizontal="center" vertical="center" shrinkToFit="1"/>
    </xf>
    <xf numFmtId="0" fontId="7" fillId="0" borderId="201" xfId="0" applyNumberFormat="1" applyFont="1" applyFill="1" applyBorder="1" applyAlignment="1" applyProtection="1">
      <alignment horizontal="center" vertical="center" shrinkToFit="1"/>
    </xf>
    <xf numFmtId="0" fontId="7" fillId="0" borderId="44" xfId="0" applyNumberFormat="1" applyFont="1" applyFill="1" applyBorder="1" applyAlignment="1" applyProtection="1">
      <alignment horizontal="center" vertical="center" shrinkToFit="1"/>
    </xf>
    <xf numFmtId="0" fontId="3" fillId="0" borderId="170" xfId="0" applyNumberFormat="1" applyFont="1" applyBorder="1" applyAlignment="1">
      <alignment horizontal="center" vertical="center" wrapText="1"/>
    </xf>
    <xf numFmtId="0" fontId="3" fillId="0" borderId="171" xfId="0" applyNumberFormat="1" applyFont="1" applyBorder="1" applyAlignment="1">
      <alignment horizontal="center" vertical="center" wrapText="1"/>
    </xf>
    <xf numFmtId="0" fontId="13" fillId="4" borderId="173" xfId="0" applyNumberFormat="1" applyFont="1" applyFill="1" applyBorder="1" applyAlignment="1">
      <alignment horizontal="center" vertical="center" shrinkToFit="1"/>
    </xf>
    <xf numFmtId="0" fontId="13" fillId="4" borderId="174" xfId="0" applyNumberFormat="1" applyFont="1" applyFill="1" applyBorder="1" applyAlignment="1">
      <alignment horizontal="center" vertical="center" shrinkToFit="1"/>
    </xf>
    <xf numFmtId="0" fontId="3" fillId="4" borderId="173" xfId="0" applyNumberFormat="1" applyFont="1" applyFill="1" applyBorder="1" applyAlignment="1">
      <alignment horizontal="center" vertical="center" shrinkToFit="1"/>
    </xf>
    <xf numFmtId="0" fontId="3" fillId="4" borderId="174" xfId="0" applyNumberFormat="1" applyFont="1" applyFill="1" applyBorder="1" applyAlignment="1">
      <alignment horizontal="center" vertical="center" shrinkToFit="1"/>
    </xf>
    <xf numFmtId="0" fontId="3" fillId="4" borderId="312" xfId="0" applyNumberFormat="1" applyFont="1" applyFill="1" applyBorder="1" applyAlignment="1">
      <alignment horizontal="center" vertical="center" shrinkToFit="1"/>
    </xf>
    <xf numFmtId="0" fontId="3" fillId="4" borderId="313" xfId="0" applyNumberFormat="1" applyFont="1" applyFill="1" applyBorder="1" applyAlignment="1">
      <alignment horizontal="center" vertical="center" shrinkToFit="1"/>
    </xf>
    <xf numFmtId="0" fontId="30" fillId="0" borderId="173" xfId="0" applyNumberFormat="1" applyFont="1" applyBorder="1" applyAlignment="1">
      <alignment horizontal="center" vertical="center" wrapText="1"/>
    </xf>
    <xf numFmtId="0" fontId="3" fillId="0" borderId="173" xfId="0" applyNumberFormat="1" applyFont="1" applyBorder="1" applyAlignment="1">
      <alignment horizontal="center" vertical="center" wrapText="1"/>
    </xf>
    <xf numFmtId="0" fontId="3" fillId="0" borderId="174" xfId="0" applyNumberFormat="1" applyFont="1" applyBorder="1" applyAlignment="1">
      <alignment horizontal="center" vertical="center" wrapText="1"/>
    </xf>
    <xf numFmtId="0" fontId="1" fillId="3" borderId="353" xfId="0" applyNumberFormat="1" applyFont="1" applyFill="1" applyBorder="1" applyAlignment="1" applyProtection="1">
      <alignment horizontal="center" vertical="center" shrinkToFit="1"/>
    </xf>
    <xf numFmtId="0" fontId="33" fillId="0" borderId="174" xfId="0" applyNumberFormat="1" applyFont="1" applyFill="1" applyBorder="1" applyAlignment="1" applyProtection="1">
      <alignment horizontal="center" vertical="center" shrinkToFit="1"/>
    </xf>
    <xf numFmtId="0" fontId="1" fillId="3" borderId="358" xfId="0" applyNumberFormat="1" applyFont="1" applyFill="1" applyBorder="1" applyAlignment="1" applyProtection="1">
      <alignment horizontal="center" vertical="center" shrinkToFit="1"/>
    </xf>
    <xf numFmtId="0" fontId="62" fillId="0" borderId="333" xfId="0" applyNumberFormat="1" applyFont="1" applyBorder="1" applyAlignment="1">
      <alignment horizontal="center" vertical="center" wrapText="1"/>
    </xf>
    <xf numFmtId="0" fontId="62" fillId="0" borderId="320" xfId="0" applyNumberFormat="1" applyFont="1" applyBorder="1" applyAlignment="1">
      <alignment horizontal="center" vertical="center" wrapText="1"/>
    </xf>
    <xf numFmtId="0" fontId="62" fillId="0" borderId="213" xfId="0" applyNumberFormat="1" applyFont="1" applyBorder="1" applyAlignment="1">
      <alignment horizontal="center" vertical="center" wrapText="1"/>
    </xf>
    <xf numFmtId="0" fontId="62" fillId="0" borderId="102" xfId="0" applyNumberFormat="1" applyFont="1" applyBorder="1" applyAlignment="1">
      <alignment horizontal="center" vertical="center" wrapText="1"/>
    </xf>
    <xf numFmtId="0" fontId="62" fillId="0" borderId="0" xfId="0" applyNumberFormat="1" applyFont="1" applyBorder="1" applyAlignment="1">
      <alignment horizontal="center" vertical="center" wrapText="1"/>
    </xf>
    <xf numFmtId="0" fontId="62" fillId="0" borderId="40" xfId="0" applyNumberFormat="1" applyFont="1" applyBorder="1" applyAlignment="1">
      <alignment horizontal="center" vertical="center" wrapText="1"/>
    </xf>
    <xf numFmtId="0" fontId="62" fillId="0" borderId="332" xfId="0" applyNumberFormat="1" applyFont="1" applyBorder="1" applyAlignment="1">
      <alignment horizontal="center" vertical="center" wrapText="1"/>
    </xf>
    <xf numFmtId="0" fontId="62" fillId="0" borderId="262" xfId="0" applyNumberFormat="1" applyFont="1" applyBorder="1" applyAlignment="1">
      <alignment horizontal="center" vertical="center" wrapText="1"/>
    </xf>
    <xf numFmtId="0" fontId="62" fillId="0" borderId="263" xfId="0" applyNumberFormat="1" applyFont="1" applyBorder="1" applyAlignment="1">
      <alignment horizontal="center" vertical="center" wrapText="1"/>
    </xf>
    <xf numFmtId="0" fontId="1" fillId="0" borderId="225" xfId="0" applyNumberFormat="1" applyFont="1" applyFill="1" applyBorder="1" applyAlignment="1">
      <alignment horizontal="center" vertical="center" wrapText="1"/>
    </xf>
    <xf numFmtId="0" fontId="1" fillId="0" borderId="226" xfId="0" applyNumberFormat="1" applyFont="1" applyFill="1" applyBorder="1" applyAlignment="1">
      <alignment horizontal="center" vertical="center" wrapText="1"/>
    </xf>
    <xf numFmtId="0" fontId="1" fillId="0" borderId="353" xfId="0" applyNumberFormat="1" applyFont="1" applyFill="1" applyBorder="1" applyAlignment="1">
      <alignment horizontal="center" vertical="center" wrapText="1"/>
    </xf>
    <xf numFmtId="0" fontId="3" fillId="0" borderId="314" xfId="0" applyNumberFormat="1" applyFont="1" applyFill="1" applyBorder="1" applyAlignment="1">
      <alignment horizontal="center" vertical="center" shrinkToFit="1"/>
    </xf>
    <xf numFmtId="0" fontId="3" fillId="0" borderId="332" xfId="0" applyNumberFormat="1" applyFont="1" applyFill="1" applyBorder="1" applyAlignment="1">
      <alignment horizontal="center" vertical="center" shrinkToFit="1"/>
    </xf>
    <xf numFmtId="0" fontId="3" fillId="0" borderId="314" xfId="0" applyNumberFormat="1" applyFont="1" applyFill="1" applyBorder="1" applyAlignment="1">
      <alignment horizontal="center" vertical="center" wrapText="1"/>
    </xf>
    <xf numFmtId="0" fontId="3" fillId="0" borderId="315" xfId="0" applyNumberFormat="1" applyFont="1" applyFill="1" applyBorder="1" applyAlignment="1">
      <alignment horizontal="center" vertical="center" wrapText="1"/>
    </xf>
    <xf numFmtId="0" fontId="1" fillId="0" borderId="324" xfId="0" applyNumberFormat="1" applyFont="1" applyFill="1" applyBorder="1" applyAlignment="1">
      <alignment horizontal="center" vertical="center" wrapText="1"/>
    </xf>
    <xf numFmtId="0" fontId="1" fillId="0" borderId="231" xfId="0" applyNumberFormat="1" applyFont="1" applyFill="1" applyBorder="1" applyAlignment="1">
      <alignment horizontal="center" vertical="center" wrapText="1"/>
    </xf>
    <xf numFmtId="0" fontId="1" fillId="0" borderId="358" xfId="0" applyNumberFormat="1" applyFont="1" applyFill="1" applyBorder="1" applyAlignment="1">
      <alignment horizontal="center" vertical="center" wrapText="1"/>
    </xf>
    <xf numFmtId="0" fontId="3" fillId="7" borderId="426" xfId="0" applyNumberFormat="1" applyFont="1" applyFill="1" applyBorder="1" applyAlignment="1" applyProtection="1">
      <alignment horizontal="center" vertical="center" shrinkToFit="1"/>
    </xf>
    <xf numFmtId="0" fontId="3" fillId="7" borderId="427" xfId="0" applyNumberFormat="1" applyFont="1" applyFill="1" applyBorder="1" applyAlignment="1" applyProtection="1">
      <alignment horizontal="center" vertical="center" shrinkToFit="1"/>
    </xf>
    <xf numFmtId="0" fontId="1" fillId="15" borderId="339" xfId="0" applyNumberFormat="1" applyFont="1" applyFill="1" applyBorder="1" applyAlignment="1">
      <alignment horizontal="center" vertical="center" wrapText="1"/>
    </xf>
    <xf numFmtId="0" fontId="1" fillId="15" borderId="198" xfId="0" applyNumberFormat="1" applyFont="1" applyFill="1" applyBorder="1" applyAlignment="1">
      <alignment horizontal="center" vertical="center" wrapText="1"/>
    </xf>
    <xf numFmtId="0" fontId="1" fillId="15" borderId="340" xfId="0" applyNumberFormat="1" applyFont="1" applyFill="1" applyBorder="1" applyAlignment="1">
      <alignment horizontal="center" vertical="center" wrapText="1"/>
    </xf>
    <xf numFmtId="0" fontId="1" fillId="3" borderId="330" xfId="0" applyNumberFormat="1" applyFont="1" applyFill="1" applyBorder="1" applyAlignment="1">
      <alignment horizontal="center" vertical="center" wrapText="1"/>
    </xf>
    <xf numFmtId="0" fontId="1" fillId="3" borderId="226" xfId="0" applyNumberFormat="1" applyFont="1" applyFill="1" applyBorder="1" applyAlignment="1">
      <alignment horizontal="center" vertical="center" wrapText="1"/>
    </xf>
    <xf numFmtId="0" fontId="1" fillId="3" borderId="227" xfId="0" applyNumberFormat="1" applyFont="1" applyFill="1" applyBorder="1" applyAlignment="1">
      <alignment horizontal="center" vertical="center" wrapText="1"/>
    </xf>
    <xf numFmtId="0" fontId="5" fillId="3" borderId="170" xfId="0" applyNumberFormat="1" applyFont="1" applyFill="1" applyBorder="1" applyAlignment="1">
      <alignment horizontal="center" vertical="center" shrinkToFit="1"/>
    </xf>
    <xf numFmtId="0" fontId="5" fillId="3" borderId="334" xfId="0" applyNumberFormat="1" applyFont="1" applyFill="1" applyBorder="1" applyAlignment="1">
      <alignment horizontal="center" vertical="center" shrinkToFit="1"/>
    </xf>
    <xf numFmtId="0" fontId="3" fillId="3" borderId="170" xfId="0" applyNumberFormat="1" applyFont="1" applyFill="1" applyBorder="1" applyAlignment="1">
      <alignment horizontal="center" vertical="center" wrapText="1"/>
    </xf>
    <xf numFmtId="0" fontId="3" fillId="3" borderId="171" xfId="0" applyNumberFormat="1" applyFont="1" applyFill="1" applyBorder="1" applyAlignment="1">
      <alignment horizontal="center" vertical="center" wrapText="1"/>
    </xf>
    <xf numFmtId="0" fontId="48" fillId="11" borderId="37" xfId="0" applyNumberFormat="1" applyFont="1" applyFill="1" applyBorder="1" applyAlignment="1">
      <alignment horizontal="center" vertical="center" wrapText="1"/>
    </xf>
    <xf numFmtId="0" fontId="1" fillId="0" borderId="198" xfId="0" applyNumberFormat="1" applyFont="1" applyFill="1" applyBorder="1" applyAlignment="1">
      <alignment horizontal="center" vertical="center" wrapText="1"/>
    </xf>
    <xf numFmtId="0" fontId="1" fillId="0" borderId="199" xfId="0" applyNumberFormat="1" applyFont="1" applyFill="1" applyBorder="1" applyAlignment="1">
      <alignment horizontal="center" vertical="center" wrapText="1"/>
    </xf>
    <xf numFmtId="0" fontId="5" fillId="0" borderId="266" xfId="0" applyNumberFormat="1" applyFont="1" applyBorder="1" applyAlignment="1">
      <alignment horizontal="center" vertical="center" shrinkToFit="1"/>
    </xf>
    <xf numFmtId="0" fontId="17" fillId="10" borderId="196" xfId="0" applyNumberFormat="1" applyFont="1" applyFill="1" applyBorder="1" applyAlignment="1">
      <alignment horizontal="center" vertical="center" shrinkToFit="1"/>
    </xf>
    <xf numFmtId="0" fontId="72" fillId="0" borderId="102" xfId="0" applyNumberFormat="1" applyFont="1" applyFill="1" applyBorder="1" applyAlignment="1">
      <alignment horizontal="center" vertical="center" wrapText="1"/>
    </xf>
    <xf numFmtId="0" fontId="72" fillId="0" borderId="0" xfId="0" applyNumberFormat="1" applyFont="1" applyFill="1" applyBorder="1" applyAlignment="1">
      <alignment horizontal="center" vertical="center" wrapText="1"/>
    </xf>
    <xf numFmtId="0" fontId="72" fillId="0" borderId="40" xfId="0" applyNumberFormat="1" applyFont="1" applyFill="1" applyBorder="1" applyAlignment="1">
      <alignment horizontal="center" vertical="center" wrapText="1"/>
    </xf>
    <xf numFmtId="0" fontId="72" fillId="0" borderId="332" xfId="0" applyNumberFormat="1" applyFont="1" applyFill="1" applyBorder="1" applyAlignment="1">
      <alignment horizontal="center" vertical="center" wrapText="1"/>
    </xf>
    <xf numFmtId="0" fontId="72" fillId="0" borderId="262" xfId="0" applyNumberFormat="1" applyFont="1" applyFill="1" applyBorder="1" applyAlignment="1">
      <alignment horizontal="center" vertical="center" wrapText="1"/>
    </xf>
    <xf numFmtId="0" fontId="72" fillId="0" borderId="263" xfId="0" applyNumberFormat="1" applyFont="1" applyFill="1" applyBorder="1" applyAlignment="1">
      <alignment horizontal="center" vertical="center" wrapText="1"/>
    </xf>
    <xf numFmtId="0" fontId="72" fillId="0" borderId="333" xfId="0" applyNumberFormat="1" applyFont="1" applyFill="1" applyBorder="1" applyAlignment="1">
      <alignment horizontal="center" vertical="center" wrapText="1"/>
    </xf>
    <xf numFmtId="0" fontId="72" fillId="0" borderId="320" xfId="0" applyNumberFormat="1" applyFont="1" applyFill="1" applyBorder="1" applyAlignment="1">
      <alignment horizontal="center" vertical="center" wrapText="1"/>
    </xf>
    <xf numFmtId="0" fontId="72" fillId="0" borderId="213" xfId="0" applyNumberFormat="1" applyFont="1" applyFill="1" applyBorder="1" applyAlignment="1">
      <alignment horizontal="center" vertical="center" wrapText="1"/>
    </xf>
    <xf numFmtId="0" fontId="1" fillId="13" borderId="339" xfId="0" applyNumberFormat="1" applyFont="1" applyFill="1" applyBorder="1" applyAlignment="1">
      <alignment horizontal="center" vertical="center" wrapText="1"/>
    </xf>
    <xf numFmtId="0" fontId="1" fillId="13" borderId="198" xfId="0" applyNumberFormat="1" applyFont="1" applyFill="1" applyBorder="1" applyAlignment="1">
      <alignment horizontal="center" vertical="center" wrapText="1"/>
    </xf>
    <xf numFmtId="0" fontId="1" fillId="13" borderId="340" xfId="0" applyNumberFormat="1" applyFont="1" applyFill="1" applyBorder="1" applyAlignment="1">
      <alignment horizontal="center" vertical="center" wrapText="1"/>
    </xf>
    <xf numFmtId="0" fontId="13" fillId="3" borderId="173" xfId="0" applyNumberFormat="1" applyFont="1" applyFill="1" applyBorder="1" applyAlignment="1">
      <alignment horizontal="center" vertical="center" shrinkToFit="1"/>
    </xf>
    <xf numFmtId="0" fontId="13" fillId="3" borderId="266" xfId="0" applyNumberFormat="1" applyFont="1" applyFill="1" applyBorder="1" applyAlignment="1">
      <alignment horizontal="center" vertical="center" shrinkToFit="1"/>
    </xf>
    <xf numFmtId="0" fontId="9" fillId="0" borderId="173" xfId="0" applyNumberFormat="1" applyFont="1" applyBorder="1" applyAlignment="1">
      <alignment horizontal="center" vertical="center" shrinkToFit="1"/>
    </xf>
    <xf numFmtId="0" fontId="9" fillId="0" borderId="266" xfId="0" applyNumberFormat="1" applyFont="1" applyBorder="1" applyAlignment="1">
      <alignment horizontal="center" vertical="center" shrinkToFit="1"/>
    </xf>
    <xf numFmtId="0" fontId="48" fillId="11" borderId="352" xfId="0" applyNumberFormat="1" applyFont="1" applyFill="1" applyBorder="1" applyAlignment="1">
      <alignment horizontal="center" vertical="center" wrapText="1"/>
    </xf>
    <xf numFmtId="0" fontId="48" fillId="11" borderId="111" xfId="0" applyNumberFormat="1" applyFont="1" applyFill="1" applyBorder="1" applyAlignment="1">
      <alignment horizontal="center" vertical="center" wrapText="1"/>
    </xf>
    <xf numFmtId="0" fontId="48" fillId="11" borderId="137" xfId="0" applyNumberFormat="1" applyFont="1" applyFill="1" applyBorder="1" applyAlignment="1">
      <alignment horizontal="center" vertical="center" wrapText="1"/>
    </xf>
    <xf numFmtId="0" fontId="21" fillId="0" borderId="173" xfId="0" applyNumberFormat="1" applyFont="1" applyBorder="1" applyAlignment="1">
      <alignment horizontal="center" vertical="center" wrapText="1"/>
    </xf>
    <xf numFmtId="0" fontId="21" fillId="0" borderId="174" xfId="0" applyNumberFormat="1" applyFont="1" applyBorder="1" applyAlignment="1">
      <alignment horizontal="center" vertical="center" wrapText="1"/>
    </xf>
    <xf numFmtId="0" fontId="3" fillId="3" borderId="173" xfId="0" applyNumberFormat="1" applyFont="1" applyFill="1" applyBorder="1" applyAlignment="1">
      <alignment horizontal="center" vertical="center" shrinkToFit="1"/>
    </xf>
    <xf numFmtId="0" fontId="3" fillId="3" borderId="266" xfId="0" applyNumberFormat="1" applyFont="1" applyFill="1" applyBorder="1" applyAlignment="1">
      <alignment horizontal="center" vertical="center" shrinkToFit="1"/>
    </xf>
    <xf numFmtId="0" fontId="48" fillId="11" borderId="33" xfId="0" applyNumberFormat="1" applyFont="1" applyFill="1" applyBorder="1" applyAlignment="1">
      <alignment horizontal="center" vertical="center" wrapText="1"/>
    </xf>
    <xf numFmtId="0" fontId="48" fillId="11" borderId="35" xfId="0" applyNumberFormat="1" applyFont="1" applyFill="1" applyBorder="1" applyAlignment="1">
      <alignment horizontal="center" vertical="center" wrapText="1"/>
    </xf>
    <xf numFmtId="0" fontId="48" fillId="11" borderId="9" xfId="0" applyNumberFormat="1" applyFont="1" applyFill="1" applyBorder="1" applyAlignment="1">
      <alignment horizontal="center" vertical="center" wrapText="1"/>
    </xf>
    <xf numFmtId="0" fontId="70" fillId="0" borderId="266" xfId="0" applyNumberFormat="1" applyFont="1" applyFill="1" applyBorder="1" applyAlignment="1" applyProtection="1">
      <alignment horizontal="center" vertical="center" shrinkToFit="1"/>
    </xf>
    <xf numFmtId="0" fontId="70" fillId="0" borderId="201" xfId="0" applyNumberFormat="1" applyFont="1" applyFill="1" applyBorder="1" applyAlignment="1" applyProtection="1">
      <alignment horizontal="center" vertical="center" shrinkToFit="1"/>
    </xf>
    <xf numFmtId="0" fontId="70" fillId="0" borderId="44" xfId="0" applyNumberFormat="1" applyFont="1" applyFill="1" applyBorder="1" applyAlignment="1" applyProtection="1">
      <alignment horizontal="center" vertical="center" shrinkToFit="1"/>
    </xf>
    <xf numFmtId="0" fontId="51" fillId="11" borderId="449" xfId="0" applyNumberFormat="1" applyFont="1" applyFill="1" applyBorder="1" applyAlignment="1">
      <alignment horizontal="center" vertical="center" wrapText="1"/>
    </xf>
    <xf numFmtId="0" fontId="51" fillId="11" borderId="259" xfId="0" applyNumberFormat="1" applyFont="1" applyFill="1" applyBorder="1" applyAlignment="1">
      <alignment horizontal="center" vertical="center" wrapText="1"/>
    </xf>
    <xf numFmtId="0" fontId="51" fillId="11" borderId="283" xfId="0" applyNumberFormat="1" applyFont="1" applyFill="1" applyBorder="1" applyAlignment="1">
      <alignment horizontal="center" vertical="center" wrapText="1"/>
    </xf>
    <xf numFmtId="0" fontId="51" fillId="11" borderId="341" xfId="0" applyNumberFormat="1" applyFont="1" applyFill="1" applyBorder="1" applyAlignment="1">
      <alignment horizontal="center" vertical="center" wrapText="1"/>
    </xf>
    <xf numFmtId="0" fontId="51" fillId="11" borderId="342" xfId="0" applyNumberFormat="1" applyFont="1" applyFill="1" applyBorder="1" applyAlignment="1">
      <alignment horizontal="center" vertical="center" wrapText="1"/>
    </xf>
    <xf numFmtId="0" fontId="51" fillId="11" borderId="343" xfId="0" applyNumberFormat="1" applyFont="1" applyFill="1" applyBorder="1" applyAlignment="1">
      <alignment horizontal="center" vertical="center" wrapText="1"/>
    </xf>
    <xf numFmtId="0" fontId="51" fillId="11" borderId="344" xfId="0" applyNumberFormat="1" applyFont="1" applyFill="1" applyBorder="1" applyAlignment="1">
      <alignment horizontal="center" vertical="center" wrapText="1"/>
    </xf>
    <xf numFmtId="0" fontId="51" fillId="11" borderId="345" xfId="0" applyNumberFormat="1" applyFont="1" applyFill="1" applyBorder="1" applyAlignment="1">
      <alignment horizontal="center" vertical="center" wrapText="1"/>
    </xf>
    <xf numFmtId="0" fontId="51" fillId="11" borderId="346" xfId="0" applyNumberFormat="1" applyFont="1" applyFill="1" applyBorder="1" applyAlignment="1">
      <alignment horizontal="center" vertical="center" wrapText="1"/>
    </xf>
    <xf numFmtId="0" fontId="52" fillId="11" borderId="450" xfId="0" applyNumberFormat="1" applyFont="1" applyFill="1" applyBorder="1" applyAlignment="1">
      <alignment horizontal="center" vertical="center" wrapText="1"/>
    </xf>
    <xf numFmtId="0" fontId="52" fillId="11" borderId="347" xfId="0" applyNumberFormat="1" applyFont="1" applyFill="1" applyBorder="1" applyAlignment="1">
      <alignment horizontal="center" vertical="center" wrapText="1"/>
    </xf>
    <xf numFmtId="0" fontId="52" fillId="11" borderId="348" xfId="0" applyNumberFormat="1" applyFont="1" applyFill="1" applyBorder="1" applyAlignment="1">
      <alignment horizontal="center" vertical="center" wrapText="1"/>
    </xf>
    <xf numFmtId="0" fontId="52" fillId="11" borderId="27" xfId="0" applyNumberFormat="1" applyFont="1" applyFill="1" applyBorder="1" applyAlignment="1" applyProtection="1">
      <alignment horizontal="center" vertical="center" wrapText="1"/>
    </xf>
    <xf numFmtId="0" fontId="52" fillId="11" borderId="70" xfId="0" applyNumberFormat="1" applyFont="1" applyFill="1" applyBorder="1" applyAlignment="1" applyProtection="1">
      <alignment horizontal="center" vertical="center" wrapText="1"/>
    </xf>
    <xf numFmtId="0" fontId="52" fillId="11" borderId="328" xfId="0" applyNumberFormat="1" applyFont="1" applyFill="1" applyBorder="1" applyAlignment="1" applyProtection="1">
      <alignment horizontal="center" vertical="center" wrapText="1"/>
    </xf>
    <xf numFmtId="0" fontId="52" fillId="11" borderId="351" xfId="0" applyNumberFormat="1" applyFont="1" applyFill="1" applyBorder="1" applyAlignment="1" applyProtection="1">
      <alignment horizontal="center" vertical="center" wrapText="1"/>
    </xf>
    <xf numFmtId="0" fontId="17" fillId="10" borderId="349" xfId="0" applyNumberFormat="1" applyFont="1" applyFill="1" applyBorder="1" applyAlignment="1">
      <alignment horizontal="center" vertical="center" wrapText="1"/>
    </xf>
    <xf numFmtId="0" fontId="17" fillId="10" borderId="328" xfId="0" quotePrefix="1" applyNumberFormat="1" applyFont="1" applyFill="1" applyBorder="1" applyAlignment="1">
      <alignment horizontal="center" vertical="center" wrapText="1"/>
    </xf>
    <xf numFmtId="0" fontId="17" fillId="10" borderId="204" xfId="0" quotePrefix="1" applyNumberFormat="1" applyFont="1" applyFill="1" applyBorder="1" applyAlignment="1">
      <alignment horizontal="center" vertical="center" wrapText="1"/>
    </xf>
    <xf numFmtId="0" fontId="17" fillId="10" borderId="70" xfId="0" applyNumberFormat="1" applyFont="1" applyFill="1" applyBorder="1" applyAlignment="1">
      <alignment horizontal="center" vertical="center" wrapText="1"/>
    </xf>
    <xf numFmtId="0" fontId="17" fillId="10" borderId="328" xfId="0" applyNumberFormat="1" applyFont="1" applyFill="1" applyBorder="1" applyAlignment="1">
      <alignment horizontal="center" vertical="center" wrapText="1"/>
    </xf>
    <xf numFmtId="0" fontId="17" fillId="10" borderId="351" xfId="0" quotePrefix="1" applyNumberFormat="1" applyFont="1" applyFill="1" applyBorder="1" applyAlignment="1">
      <alignment horizontal="center" vertical="center" wrapText="1"/>
    </xf>
    <xf numFmtId="0" fontId="17" fillId="10" borderId="190" xfId="0" applyNumberFormat="1" applyFont="1" applyFill="1" applyBorder="1" applyAlignment="1">
      <alignment horizontal="center" vertical="center" shrinkToFit="1"/>
    </xf>
    <xf numFmtId="0" fontId="17" fillId="10" borderId="70" xfId="0" applyNumberFormat="1" applyFont="1" applyFill="1" applyBorder="1" applyAlignment="1">
      <alignment horizontal="center" vertical="center" shrinkToFit="1"/>
    </xf>
    <xf numFmtId="0" fontId="17" fillId="10" borderId="351" xfId="0" applyNumberFormat="1" applyFont="1" applyFill="1" applyBorder="1" applyAlignment="1">
      <alignment horizontal="center" vertical="center" shrinkToFit="1"/>
    </xf>
    <xf numFmtId="0" fontId="17" fillId="10" borderId="397" xfId="0" applyNumberFormat="1" applyFont="1" applyFill="1" applyBorder="1" applyAlignment="1">
      <alignment horizontal="center" vertical="center" shrinkToFit="1"/>
    </xf>
    <xf numFmtId="0" fontId="31" fillId="0" borderId="173" xfId="0" applyNumberFormat="1" applyFont="1" applyFill="1" applyBorder="1" applyAlignment="1">
      <alignment horizontal="center" vertical="center" shrinkToFit="1"/>
    </xf>
    <xf numFmtId="0" fontId="31" fillId="0" borderId="174" xfId="0" applyNumberFormat="1" applyFont="1" applyFill="1" applyBorder="1" applyAlignment="1">
      <alignment horizontal="center" vertical="center" shrinkToFit="1"/>
    </xf>
    <xf numFmtId="0" fontId="3" fillId="4" borderId="314" xfId="0" applyNumberFormat="1" applyFont="1" applyFill="1" applyBorder="1" applyAlignment="1">
      <alignment horizontal="center" vertical="center" shrinkToFit="1"/>
    </xf>
    <xf numFmtId="0" fontId="3" fillId="4" borderId="315" xfId="0" applyNumberFormat="1" applyFont="1" applyFill="1" applyBorder="1" applyAlignment="1">
      <alignment horizontal="center" vertical="center" shrinkToFit="1"/>
    </xf>
    <xf numFmtId="0" fontId="3" fillId="4" borderId="173" xfId="0" applyNumberFormat="1" applyFont="1" applyFill="1" applyBorder="1" applyAlignment="1" applyProtection="1">
      <alignment horizontal="center" vertical="center" shrinkToFit="1"/>
    </xf>
    <xf numFmtId="0" fontId="3" fillId="4" borderId="174" xfId="0" applyNumberFormat="1" applyFont="1" applyFill="1" applyBorder="1" applyAlignment="1" applyProtection="1">
      <alignment horizontal="center" vertical="center" shrinkToFit="1"/>
    </xf>
    <xf numFmtId="0" fontId="3" fillId="4" borderId="314" xfId="0" applyNumberFormat="1" applyFont="1" applyFill="1" applyBorder="1" applyAlignment="1" applyProtection="1">
      <alignment horizontal="center" vertical="center" shrinkToFit="1"/>
    </xf>
    <xf numFmtId="0" fontId="3" fillId="4" borderId="315" xfId="0" applyNumberFormat="1" applyFont="1" applyFill="1" applyBorder="1" applyAlignment="1" applyProtection="1">
      <alignment horizontal="center" vertical="center" shrinkToFit="1"/>
    </xf>
    <xf numFmtId="0" fontId="31" fillId="4" borderId="266" xfId="0" applyNumberFormat="1" applyFont="1" applyFill="1" applyBorder="1" applyAlignment="1" applyProtection="1">
      <alignment horizontal="center" vertical="center" shrinkToFit="1"/>
    </xf>
    <xf numFmtId="0" fontId="31" fillId="4" borderId="201" xfId="0" applyNumberFormat="1" applyFont="1" applyFill="1" applyBorder="1" applyAlignment="1" applyProtection="1">
      <alignment horizontal="center" vertical="center" shrinkToFit="1"/>
    </xf>
    <xf numFmtId="0" fontId="31" fillId="4" borderId="44" xfId="0" applyNumberFormat="1" applyFont="1" applyFill="1" applyBorder="1" applyAlignment="1" applyProtection="1">
      <alignment horizontal="center" vertical="center" shrinkToFit="1"/>
    </xf>
    <xf numFmtId="0" fontId="17" fillId="10" borderId="350" xfId="0" quotePrefix="1" applyNumberFormat="1" applyFont="1" applyFill="1" applyBorder="1" applyAlignment="1" applyProtection="1">
      <alignment horizontal="center" vertical="center" shrinkToFit="1"/>
    </xf>
    <xf numFmtId="0" fontId="17" fillId="10" borderId="351" xfId="0" quotePrefix="1" applyNumberFormat="1" applyFont="1" applyFill="1" applyBorder="1" applyAlignment="1" applyProtection="1">
      <alignment horizontal="center" vertical="center" shrinkToFit="1"/>
    </xf>
    <xf numFmtId="0" fontId="17" fillId="10" borderId="351" xfId="0" applyNumberFormat="1" applyFont="1" applyFill="1" applyBorder="1" applyAlignment="1" applyProtection="1">
      <alignment horizontal="center" vertical="center" shrinkToFit="1"/>
    </xf>
    <xf numFmtId="58" fontId="17" fillId="10" borderId="349" xfId="0" applyNumberFormat="1" applyFont="1" applyFill="1" applyBorder="1" applyAlignment="1" applyProtection="1">
      <alignment horizontal="center" vertical="center" shrinkToFit="1"/>
    </xf>
    <xf numFmtId="58" fontId="17" fillId="10" borderId="328" xfId="0" quotePrefix="1" applyNumberFormat="1" applyFont="1" applyFill="1" applyBorder="1" applyAlignment="1" applyProtection="1">
      <alignment horizontal="center" vertical="center" shrinkToFit="1"/>
    </xf>
    <xf numFmtId="58" fontId="17" fillId="10" borderId="350" xfId="0" quotePrefix="1" applyNumberFormat="1" applyFont="1" applyFill="1" applyBorder="1" applyAlignment="1" applyProtection="1">
      <alignment horizontal="center" vertical="center" shrinkToFit="1"/>
    </xf>
    <xf numFmtId="0" fontId="3" fillId="0" borderId="315" xfId="0" applyNumberFormat="1" applyFont="1" applyFill="1" applyBorder="1" applyAlignment="1" applyProtection="1">
      <alignment horizontal="center" vertical="center" shrinkToFit="1"/>
    </xf>
    <xf numFmtId="0" fontId="0" fillId="0" borderId="314" xfId="0" applyNumberFormat="1" applyFont="1" applyFill="1" applyBorder="1" applyAlignment="1" applyProtection="1">
      <alignment horizontal="center" vertical="center"/>
    </xf>
    <xf numFmtId="0" fontId="0" fillId="0" borderId="315" xfId="0" applyNumberFormat="1" applyFont="1" applyFill="1" applyBorder="1" applyAlignment="1" applyProtection="1">
      <alignment horizontal="center" vertical="center"/>
    </xf>
    <xf numFmtId="0" fontId="7" fillId="0" borderId="315" xfId="0" applyNumberFormat="1" applyFont="1" applyFill="1" applyBorder="1" applyAlignment="1" applyProtection="1">
      <alignment horizontal="center" vertical="center" shrinkToFit="1"/>
    </xf>
    <xf numFmtId="0" fontId="1" fillId="0" borderId="336" xfId="0" applyNumberFormat="1" applyFont="1" applyFill="1" applyBorder="1" applyAlignment="1" applyProtection="1">
      <alignment horizontal="center" vertical="center" shrinkToFit="1"/>
    </xf>
    <xf numFmtId="0" fontId="1" fillId="7" borderId="254" xfId="0" applyNumberFormat="1" applyFont="1" applyFill="1" applyBorder="1" applyAlignment="1" applyProtection="1">
      <alignment horizontal="center" vertical="center" shrinkToFit="1"/>
    </xf>
    <xf numFmtId="0" fontId="1" fillId="7" borderId="384" xfId="0" applyNumberFormat="1" applyFont="1" applyFill="1" applyBorder="1" applyAlignment="1" applyProtection="1">
      <alignment horizontal="center" vertical="center" shrinkToFit="1"/>
    </xf>
    <xf numFmtId="0" fontId="1" fillId="3" borderId="339" xfId="0" applyNumberFormat="1" applyFont="1" applyFill="1" applyBorder="1" applyAlignment="1" applyProtection="1">
      <alignment horizontal="center" vertical="center" shrinkToFit="1"/>
    </xf>
    <xf numFmtId="0" fontId="1" fillId="3" borderId="198" xfId="0" applyNumberFormat="1" applyFont="1" applyFill="1" applyBorder="1" applyAlignment="1" applyProtection="1">
      <alignment horizontal="center" vertical="center" shrinkToFit="1"/>
    </xf>
    <xf numFmtId="0" fontId="1" fillId="3" borderId="340" xfId="0" applyNumberFormat="1" applyFont="1" applyFill="1" applyBorder="1" applyAlignment="1" applyProtection="1">
      <alignment horizontal="center" vertical="center" shrinkToFit="1"/>
    </xf>
    <xf numFmtId="0" fontId="7" fillId="0" borderId="173" xfId="0" applyNumberFormat="1" applyFont="1" applyFill="1" applyBorder="1" applyAlignment="1" applyProtection="1">
      <alignment horizontal="center" vertical="center" wrapText="1" shrinkToFit="1"/>
    </xf>
    <xf numFmtId="0" fontId="1" fillId="4" borderId="339" xfId="0" applyNumberFormat="1" applyFont="1" applyFill="1" applyBorder="1" applyAlignment="1" applyProtection="1">
      <alignment horizontal="center" vertical="center" shrinkToFit="1"/>
    </xf>
    <xf numFmtId="0" fontId="1" fillId="4" borderId="198" xfId="0" applyNumberFormat="1" applyFont="1" applyFill="1" applyBorder="1" applyAlignment="1" applyProtection="1">
      <alignment horizontal="center" vertical="center" shrinkToFit="1"/>
    </xf>
    <xf numFmtId="0" fontId="1" fillId="4" borderId="199" xfId="0" applyNumberFormat="1" applyFont="1" applyFill="1" applyBorder="1" applyAlignment="1" applyProtection="1">
      <alignment horizontal="center" vertical="center" shrinkToFit="1"/>
    </xf>
    <xf numFmtId="0" fontId="67" fillId="0" borderId="101" xfId="0" applyNumberFormat="1" applyFont="1" applyBorder="1" applyAlignment="1">
      <alignment horizontal="left" vertical="center" wrapText="1"/>
    </xf>
    <xf numFmtId="0" fontId="13" fillId="0" borderId="173" xfId="0" applyNumberFormat="1" applyFont="1" applyFill="1" applyBorder="1" applyAlignment="1">
      <alignment horizontal="center" vertical="center" shrinkToFit="1"/>
    </xf>
    <xf numFmtId="0" fontId="13" fillId="0" borderId="266" xfId="0" applyNumberFormat="1" applyFont="1" applyFill="1" applyBorder="1" applyAlignment="1">
      <alignment horizontal="center" vertical="center" shrinkToFit="1"/>
    </xf>
    <xf numFmtId="0" fontId="30" fillId="0" borderId="173" xfId="0" applyNumberFormat="1" applyFont="1" applyFill="1" applyBorder="1" applyAlignment="1">
      <alignment horizontal="center" vertical="center" wrapText="1"/>
    </xf>
    <xf numFmtId="0" fontId="3" fillId="0" borderId="173" xfId="0" applyNumberFormat="1" applyFont="1" applyFill="1" applyBorder="1" applyAlignment="1">
      <alignment horizontal="center" vertical="center" wrapText="1"/>
    </xf>
    <xf numFmtId="0" fontId="3" fillId="0" borderId="174" xfId="0" applyNumberFormat="1" applyFont="1" applyFill="1" applyBorder="1" applyAlignment="1">
      <alignment horizontal="center" vertical="center" wrapText="1"/>
    </xf>
    <xf numFmtId="0" fontId="3" fillId="0" borderId="266" xfId="0" applyNumberFormat="1" applyFont="1" applyFill="1" applyBorder="1" applyAlignment="1">
      <alignment horizontal="center" vertical="center" shrinkToFit="1"/>
    </xf>
    <xf numFmtId="0" fontId="21" fillId="0" borderId="173" xfId="0" applyNumberFormat="1" applyFont="1" applyFill="1" applyBorder="1" applyAlignment="1">
      <alignment horizontal="center" vertical="center" wrapText="1"/>
    </xf>
    <xf numFmtId="0" fontId="21" fillId="0" borderId="174" xfId="0" applyNumberFormat="1" applyFont="1" applyFill="1" applyBorder="1" applyAlignment="1">
      <alignment horizontal="center" vertical="center" wrapText="1"/>
    </xf>
    <xf numFmtId="0" fontId="75" fillId="14" borderId="458" xfId="0" applyNumberFormat="1" applyFont="1" applyFill="1" applyBorder="1" applyAlignment="1">
      <alignment horizontal="center" vertical="center"/>
    </xf>
    <xf numFmtId="0" fontId="75" fillId="14" borderId="368" xfId="0" applyNumberFormat="1" applyFont="1" applyFill="1" applyBorder="1" applyAlignment="1">
      <alignment horizontal="center" vertical="center"/>
    </xf>
    <xf numFmtId="0" fontId="75" fillId="14" borderId="464" xfId="0" applyNumberFormat="1" applyFont="1" applyFill="1" applyBorder="1" applyAlignment="1">
      <alignment horizontal="center" vertical="center"/>
    </xf>
    <xf numFmtId="0" fontId="75" fillId="14" borderId="148" xfId="0" applyNumberFormat="1" applyFont="1" applyFill="1" applyBorder="1" applyAlignment="1">
      <alignment horizontal="center" vertical="center"/>
    </xf>
    <xf numFmtId="0" fontId="75" fillId="14" borderId="465" xfId="0" applyNumberFormat="1" applyFont="1" applyFill="1" applyBorder="1" applyAlignment="1">
      <alignment horizontal="center" vertical="center"/>
    </xf>
    <xf numFmtId="0" fontId="75" fillId="14" borderId="149" xfId="0" applyNumberFormat="1" applyFont="1" applyFill="1" applyBorder="1" applyAlignment="1">
      <alignment horizontal="center" vertical="center"/>
    </xf>
    <xf numFmtId="0" fontId="3" fillId="0" borderId="418" xfId="0" applyNumberFormat="1" applyFont="1" applyFill="1" applyBorder="1" applyAlignment="1" applyProtection="1">
      <alignment horizontal="center" vertical="center" wrapText="1"/>
    </xf>
    <xf numFmtId="0" fontId="3" fillId="0" borderId="404" xfId="0" applyNumberFormat="1" applyFont="1" applyFill="1" applyBorder="1" applyAlignment="1" applyProtection="1">
      <alignment horizontal="center" vertical="center" wrapText="1"/>
    </xf>
    <xf numFmtId="0" fontId="3" fillId="0" borderId="405" xfId="0" applyNumberFormat="1" applyFont="1" applyFill="1" applyBorder="1" applyAlignment="1" applyProtection="1">
      <alignment horizontal="center" vertical="center" wrapText="1"/>
    </xf>
    <xf numFmtId="0" fontId="3" fillId="0" borderId="265" xfId="0" applyNumberFormat="1" applyFont="1" applyFill="1" applyBorder="1" applyAlignment="1" applyProtection="1">
      <alignment horizontal="center" vertical="center" wrapText="1"/>
    </xf>
    <xf numFmtId="0" fontId="3" fillId="0" borderId="138" xfId="0" applyNumberFormat="1" applyFont="1" applyFill="1" applyBorder="1" applyAlignment="1" applyProtection="1">
      <alignment horizontal="center" vertical="center" wrapText="1"/>
    </xf>
    <xf numFmtId="0" fontId="3" fillId="0" borderId="139" xfId="0" applyNumberFormat="1" applyFont="1" applyFill="1" applyBorder="1" applyAlignment="1" applyProtection="1">
      <alignment horizontal="center" vertical="center" wrapText="1"/>
    </xf>
    <xf numFmtId="0" fontId="1" fillId="15" borderId="417" xfId="0" applyNumberFormat="1" applyFont="1" applyFill="1" applyBorder="1" applyAlignment="1" applyProtection="1">
      <alignment horizontal="center" vertical="center" wrapText="1"/>
    </xf>
    <xf numFmtId="0" fontId="1" fillId="15" borderId="255" xfId="0" applyNumberFormat="1" applyFont="1" applyFill="1" applyBorder="1" applyAlignment="1" applyProtection="1">
      <alignment horizontal="center" vertical="center" wrapText="1"/>
    </xf>
    <xf numFmtId="0" fontId="1" fillId="15" borderId="260" xfId="0" applyNumberFormat="1" applyFont="1" applyFill="1" applyBorder="1" applyAlignment="1" applyProtection="1">
      <alignment horizontal="center" vertical="center" wrapText="1"/>
    </xf>
    <xf numFmtId="0" fontId="57" fillId="15" borderId="418" xfId="0" applyNumberFormat="1" applyFont="1" applyFill="1" applyBorder="1" applyAlignment="1" applyProtection="1">
      <alignment horizontal="center" vertical="center" wrapText="1"/>
    </xf>
    <xf numFmtId="0" fontId="57" fillId="15" borderId="404" xfId="0" applyNumberFormat="1" applyFont="1" applyFill="1" applyBorder="1" applyAlignment="1" applyProtection="1">
      <alignment horizontal="center" vertical="center" wrapText="1"/>
    </xf>
    <xf numFmtId="0" fontId="57" fillId="15" borderId="405" xfId="0" applyNumberFormat="1" applyFont="1" applyFill="1" applyBorder="1" applyAlignment="1" applyProtection="1">
      <alignment horizontal="center" vertical="center" wrapText="1"/>
    </xf>
    <xf numFmtId="0" fontId="57" fillId="15" borderId="265" xfId="0" applyNumberFormat="1" applyFont="1" applyFill="1" applyBorder="1" applyAlignment="1" applyProtection="1">
      <alignment horizontal="center" vertical="center" wrapText="1"/>
    </xf>
    <xf numFmtId="0" fontId="57" fillId="15" borderId="138" xfId="0" applyNumberFormat="1" applyFont="1" applyFill="1" applyBorder="1" applyAlignment="1" applyProtection="1">
      <alignment horizontal="center" vertical="center" wrapText="1"/>
    </xf>
    <xf numFmtId="0" fontId="57" fillId="15" borderId="139" xfId="0" applyNumberFormat="1" applyFont="1" applyFill="1" applyBorder="1" applyAlignment="1" applyProtection="1">
      <alignment horizontal="center" vertical="center" wrapText="1"/>
    </xf>
    <xf numFmtId="0" fontId="7" fillId="0" borderId="110" xfId="0" applyNumberFormat="1" applyFont="1" applyFill="1" applyBorder="1" applyAlignment="1">
      <alignment horizontal="center" vertical="center" wrapText="1"/>
    </xf>
    <xf numFmtId="0" fontId="7" fillId="0" borderId="111" xfId="0" applyNumberFormat="1" applyFont="1" applyFill="1" applyBorder="1" applyAlignment="1">
      <alignment horizontal="center" vertical="center" wrapText="1"/>
    </xf>
    <xf numFmtId="0" fontId="7" fillId="0" borderId="112" xfId="0" applyNumberFormat="1" applyFont="1" applyFill="1" applyBorder="1" applyAlignment="1">
      <alignment horizontal="center" vertical="center" wrapText="1"/>
    </xf>
    <xf numFmtId="0" fontId="9" fillId="0" borderId="110" xfId="0" applyNumberFormat="1" applyFont="1" applyFill="1" applyBorder="1" applyAlignment="1">
      <alignment horizontal="center" vertical="center" wrapText="1"/>
    </xf>
    <xf numFmtId="0" fontId="9" fillId="0" borderId="111" xfId="0" applyNumberFormat="1" applyFont="1" applyFill="1" applyBorder="1" applyAlignment="1">
      <alignment horizontal="center" vertical="center" wrapText="1"/>
    </xf>
    <xf numFmtId="0" fontId="9" fillId="0" borderId="112" xfId="0" applyNumberFormat="1" applyFont="1" applyFill="1" applyBorder="1" applyAlignment="1">
      <alignment horizontal="center" vertical="center" wrapText="1"/>
    </xf>
    <xf numFmtId="0" fontId="13" fillId="0" borderId="111" xfId="0" applyNumberFormat="1" applyFont="1" applyFill="1" applyBorder="1" applyAlignment="1">
      <alignment horizontal="center" vertical="center" wrapText="1"/>
    </xf>
    <xf numFmtId="0" fontId="13" fillId="0" borderId="112" xfId="0" applyNumberFormat="1" applyFont="1" applyFill="1" applyBorder="1" applyAlignment="1">
      <alignment horizontal="center" vertical="center" wrapText="1"/>
    </xf>
    <xf numFmtId="0" fontId="3" fillId="0" borderId="111" xfId="0" applyNumberFormat="1" applyFont="1" applyBorder="1" applyAlignment="1">
      <alignment horizontal="center" vertical="center" wrapText="1"/>
    </xf>
    <xf numFmtId="0" fontId="3" fillId="0" borderId="112" xfId="0" applyNumberFormat="1" applyFont="1" applyBorder="1" applyAlignment="1">
      <alignment horizontal="center" vertical="center" wrapText="1"/>
    </xf>
    <xf numFmtId="0" fontId="1" fillId="0" borderId="161" xfId="0" applyNumberFormat="1" applyFont="1" applyFill="1" applyBorder="1" applyAlignment="1">
      <alignment horizontal="center" vertical="center" wrapText="1"/>
    </xf>
    <xf numFmtId="0" fontId="1" fillId="0" borderId="162" xfId="0" applyNumberFormat="1" applyFont="1" applyFill="1" applyBorder="1" applyAlignment="1">
      <alignment horizontal="center" vertical="center" wrapText="1"/>
    </xf>
    <xf numFmtId="0" fontId="1" fillId="0" borderId="234" xfId="0" applyNumberFormat="1" applyFont="1" applyFill="1" applyBorder="1" applyAlignment="1">
      <alignment horizontal="center" vertical="center" wrapText="1"/>
    </xf>
    <xf numFmtId="0" fontId="3" fillId="3" borderId="138" xfId="0" applyNumberFormat="1" applyFont="1" applyFill="1" applyBorder="1" applyAlignment="1">
      <alignment horizontal="center" vertical="center" wrapText="1"/>
    </xf>
    <xf numFmtId="0" fontId="3" fillId="3" borderId="139" xfId="0" applyNumberFormat="1" applyFont="1" applyFill="1" applyBorder="1" applyAlignment="1">
      <alignment horizontal="center" vertical="center" wrapText="1"/>
    </xf>
    <xf numFmtId="0" fontId="3" fillId="3" borderId="243" xfId="0" applyNumberFormat="1" applyFont="1" applyFill="1" applyBorder="1" applyAlignment="1">
      <alignment horizontal="center" vertical="center" wrapText="1"/>
    </xf>
    <xf numFmtId="0" fontId="3" fillId="3" borderId="244" xfId="0" applyNumberFormat="1" applyFont="1" applyFill="1" applyBorder="1" applyAlignment="1">
      <alignment horizontal="center" vertical="center" wrapText="1"/>
    </xf>
    <xf numFmtId="0" fontId="1" fillId="0" borderId="140" xfId="0" applyNumberFormat="1" applyFont="1" applyBorder="1" applyAlignment="1">
      <alignment horizontal="center" vertical="center" wrapText="1"/>
    </xf>
    <xf numFmtId="0" fontId="1" fillId="0" borderId="141" xfId="0" applyNumberFormat="1" applyFont="1" applyBorder="1" applyAlignment="1">
      <alignment horizontal="center" vertical="center" wrapText="1"/>
    </xf>
    <xf numFmtId="0" fontId="1" fillId="0" borderId="142" xfId="0" applyNumberFormat="1" applyFont="1" applyBorder="1" applyAlignment="1">
      <alignment horizontal="center" vertical="center" wrapText="1"/>
    </xf>
    <xf numFmtId="0" fontId="1" fillId="3" borderId="425" xfId="0" applyNumberFormat="1" applyFont="1" applyFill="1" applyBorder="1" applyAlignment="1">
      <alignment horizontal="center" vertical="center" wrapText="1"/>
    </xf>
    <xf numFmtId="0" fontId="1" fillId="3" borderId="141" xfId="0" applyNumberFormat="1" applyFont="1" applyFill="1" applyBorder="1" applyAlignment="1">
      <alignment horizontal="center" vertical="center" wrapText="1"/>
    </xf>
    <xf numFmtId="0" fontId="1" fillId="3" borderId="183" xfId="0" applyNumberFormat="1" applyFont="1" applyFill="1" applyBorder="1" applyAlignment="1">
      <alignment horizontal="center" vertical="center" wrapText="1"/>
    </xf>
    <xf numFmtId="0" fontId="52" fillId="11" borderId="201" xfId="0" applyNumberFormat="1" applyFont="1" applyFill="1" applyBorder="1" applyAlignment="1">
      <alignment horizontal="center" vertical="center" wrapText="1"/>
    </xf>
    <xf numFmtId="0" fontId="52" fillId="11" borderId="35" xfId="0" applyNumberFormat="1" applyFont="1" applyFill="1" applyBorder="1" applyAlignment="1">
      <alignment horizontal="center" vertical="center" wrapText="1"/>
    </xf>
    <xf numFmtId="0" fontId="5" fillId="3" borderId="231" xfId="0" applyNumberFormat="1" applyFont="1" applyFill="1" applyBorder="1" applyAlignment="1">
      <alignment horizontal="center" vertical="center" shrinkToFit="1"/>
    </xf>
    <xf numFmtId="0" fontId="5" fillId="3" borderId="173" xfId="0" applyNumberFormat="1" applyFont="1" applyFill="1" applyBorder="1" applyAlignment="1">
      <alignment horizontal="center" vertical="center" shrinkToFit="1"/>
    </xf>
    <xf numFmtId="0" fontId="5" fillId="3" borderId="174" xfId="0" applyNumberFormat="1" applyFont="1" applyFill="1" applyBorder="1" applyAlignment="1">
      <alignment horizontal="center" vertical="center" shrinkToFit="1"/>
    </xf>
    <xf numFmtId="0" fontId="52" fillId="11" borderId="0" xfId="0" applyNumberFormat="1" applyFont="1" applyFill="1" applyBorder="1" applyAlignment="1">
      <alignment horizontal="center" vertical="center" wrapText="1"/>
    </xf>
    <xf numFmtId="0" fontId="52" fillId="11" borderId="37" xfId="0" applyNumberFormat="1" applyFont="1" applyFill="1" applyBorder="1" applyAlignment="1">
      <alignment horizontal="center" vertical="center" wrapText="1"/>
    </xf>
    <xf numFmtId="0" fontId="65" fillId="0" borderId="308" xfId="0" applyNumberFormat="1" applyFont="1" applyFill="1" applyBorder="1" applyAlignment="1" applyProtection="1">
      <alignment horizontal="center" vertical="center" shrinkToFit="1"/>
    </xf>
    <xf numFmtId="0" fontId="65" fillId="0" borderId="243" xfId="0" applyNumberFormat="1" applyFont="1" applyFill="1" applyBorder="1" applyAlignment="1" applyProtection="1">
      <alignment horizontal="center" vertical="center" shrinkToFit="1"/>
    </xf>
    <xf numFmtId="0" fontId="65" fillId="0" borderId="244" xfId="0" applyNumberFormat="1" applyFont="1" applyFill="1" applyBorder="1" applyAlignment="1" applyProtection="1">
      <alignment horizontal="center" vertical="center" shrinkToFit="1"/>
    </xf>
    <xf numFmtId="0" fontId="1" fillId="0" borderId="179" xfId="0" applyNumberFormat="1" applyFont="1" applyFill="1" applyBorder="1" applyAlignment="1" applyProtection="1">
      <alignment horizontal="center" vertical="center" wrapText="1"/>
    </xf>
    <xf numFmtId="0" fontId="1" fillId="0" borderId="180" xfId="0" applyNumberFormat="1" applyFont="1" applyFill="1" applyBorder="1" applyAlignment="1" applyProtection="1">
      <alignment horizontal="center" vertical="center" wrapText="1"/>
    </xf>
    <xf numFmtId="0" fontId="1" fillId="0" borderId="159" xfId="0" applyNumberFormat="1" applyFont="1" applyFill="1" applyBorder="1" applyAlignment="1" applyProtection="1">
      <alignment horizontal="center" vertical="center" wrapText="1"/>
    </xf>
    <xf numFmtId="0" fontId="1" fillId="0" borderId="208" xfId="0" applyNumberFormat="1" applyFont="1" applyFill="1" applyBorder="1" applyAlignment="1" applyProtection="1">
      <alignment horizontal="center" vertical="center" wrapText="1"/>
    </xf>
    <xf numFmtId="0" fontId="3" fillId="0" borderId="261" xfId="0" applyNumberFormat="1" applyFont="1" applyFill="1" applyBorder="1" applyAlignment="1" applyProtection="1">
      <alignment horizontal="center" vertical="center" wrapText="1"/>
    </xf>
    <xf numFmtId="0" fontId="3" fillId="0" borderId="262" xfId="0" applyNumberFormat="1" applyFont="1" applyFill="1" applyBorder="1" applyAlignment="1" applyProtection="1">
      <alignment horizontal="center" vertical="center" wrapText="1"/>
    </xf>
    <xf numFmtId="0" fontId="3" fillId="0" borderId="263" xfId="0" applyNumberFormat="1" applyFont="1" applyFill="1" applyBorder="1" applyAlignment="1" applyProtection="1">
      <alignment horizontal="center" vertical="center" wrapText="1"/>
    </xf>
    <xf numFmtId="0" fontId="26" fillId="0" borderId="253" xfId="0" applyNumberFormat="1" applyFont="1" applyFill="1" applyBorder="1" applyAlignment="1" applyProtection="1">
      <alignment horizontal="center" vertical="center" wrapText="1"/>
    </xf>
    <xf numFmtId="0" fontId="26" fillId="0" borderId="201" xfId="0" applyNumberFormat="1" applyFont="1" applyFill="1" applyBorder="1" applyAlignment="1" applyProtection="1">
      <alignment horizontal="center" vertical="center" wrapText="1"/>
    </xf>
    <xf numFmtId="0" fontId="26" fillId="0" borderId="44" xfId="0" applyNumberFormat="1" applyFont="1" applyFill="1" applyBorder="1" applyAlignment="1" applyProtection="1">
      <alignment horizontal="center" vertical="center" wrapText="1"/>
    </xf>
    <xf numFmtId="0" fontId="13" fillId="0" borderId="133" xfId="0" applyNumberFormat="1" applyFont="1" applyBorder="1" applyAlignment="1">
      <alignment horizontal="center" vertical="center" wrapText="1"/>
    </xf>
    <xf numFmtId="0" fontId="13" fillId="0" borderId="156" xfId="0" applyNumberFormat="1" applyFont="1" applyBorder="1" applyAlignment="1">
      <alignment horizontal="center" vertical="center" wrapText="1"/>
    </xf>
    <xf numFmtId="0" fontId="13" fillId="0" borderId="157" xfId="0" applyNumberFormat="1" applyFont="1" applyBorder="1" applyAlignment="1">
      <alignment horizontal="center" vertical="center" wrapText="1"/>
    </xf>
    <xf numFmtId="0" fontId="13" fillId="0" borderId="110" xfId="0" applyNumberFormat="1" applyFont="1" applyBorder="1" applyAlignment="1">
      <alignment horizontal="center" vertical="center" wrapText="1"/>
    </xf>
    <xf numFmtId="0" fontId="13" fillId="0" borderId="111" xfId="0" applyNumberFormat="1" applyFont="1" applyBorder="1" applyAlignment="1">
      <alignment horizontal="center" vertical="center" wrapText="1"/>
    </xf>
    <xf numFmtId="0" fontId="13" fillId="0" borderId="112" xfId="0" applyNumberFormat="1" applyFont="1" applyBorder="1" applyAlignment="1">
      <alignment horizontal="center" vertical="center" wrapText="1"/>
    </xf>
    <xf numFmtId="0" fontId="33" fillId="0" borderId="316" xfId="0" applyNumberFormat="1" applyFont="1" applyFill="1" applyBorder="1" applyAlignment="1" applyProtection="1">
      <alignment horizontal="center" vertical="center" wrapText="1"/>
    </xf>
    <xf numFmtId="0" fontId="33" fillId="0" borderId="317" xfId="0" applyNumberFormat="1" applyFont="1" applyFill="1" applyBorder="1" applyAlignment="1" applyProtection="1">
      <alignment horizontal="center" vertical="center" wrapText="1"/>
    </xf>
    <xf numFmtId="0" fontId="33" fillId="0" borderId="318" xfId="0" applyNumberFormat="1" applyFont="1" applyFill="1" applyBorder="1" applyAlignment="1" applyProtection="1">
      <alignment horizontal="center" vertical="center" wrapText="1"/>
    </xf>
    <xf numFmtId="0" fontId="34" fillId="0" borderId="110" xfId="0" applyNumberFormat="1" applyFont="1" applyFill="1" applyBorder="1" applyAlignment="1">
      <alignment horizontal="center" vertical="center" wrapText="1"/>
    </xf>
    <xf numFmtId="0" fontId="33" fillId="0" borderId="111" xfId="0" applyNumberFormat="1" applyFont="1" applyFill="1" applyBorder="1" applyAlignment="1">
      <alignment horizontal="center" vertical="center" wrapText="1"/>
    </xf>
    <xf numFmtId="0" fontId="33" fillId="0" borderId="112" xfId="0" applyNumberFormat="1" applyFont="1" applyFill="1" applyBorder="1" applyAlignment="1">
      <alignment horizontal="center" vertical="center" wrapText="1"/>
    </xf>
    <xf numFmtId="0" fontId="3" fillId="0" borderId="110" xfId="0" applyNumberFormat="1" applyFont="1" applyFill="1" applyBorder="1" applyAlignment="1">
      <alignment horizontal="center" vertical="center" wrapText="1"/>
    </xf>
    <xf numFmtId="0" fontId="3" fillId="0" borderId="111" xfId="0" applyNumberFormat="1" applyFont="1" applyFill="1" applyBorder="1" applyAlignment="1">
      <alignment horizontal="center" vertical="center" wrapText="1"/>
    </xf>
    <xf numFmtId="0" fontId="3" fillId="0" borderId="112" xfId="0" applyNumberFormat="1" applyFont="1" applyFill="1" applyBorder="1" applyAlignment="1">
      <alignment horizontal="center" vertical="center" wrapText="1"/>
    </xf>
    <xf numFmtId="0" fontId="1" fillId="0" borderId="202" xfId="0" applyNumberFormat="1" applyFont="1" applyBorder="1" applyAlignment="1">
      <alignment horizontal="center" vertical="center" wrapText="1"/>
    </xf>
    <xf numFmtId="0" fontId="7" fillId="0" borderId="137" xfId="0" applyNumberFormat="1" applyFont="1" applyFill="1" applyBorder="1" applyAlignment="1" applyProtection="1">
      <alignment horizontal="center" vertical="center" wrapText="1"/>
    </xf>
    <xf numFmtId="0" fontId="7" fillId="0" borderId="138" xfId="0" applyNumberFormat="1" applyFont="1" applyFill="1" applyBorder="1" applyAlignment="1" applyProtection="1">
      <alignment horizontal="center" vertical="center"/>
    </xf>
    <xf numFmtId="0" fontId="7" fillId="0" borderId="139" xfId="0" applyNumberFormat="1" applyFont="1" applyFill="1" applyBorder="1" applyAlignment="1" applyProtection="1">
      <alignment horizontal="center" vertical="center"/>
    </xf>
    <xf numFmtId="0" fontId="5" fillId="0" borderId="143" xfId="0" applyNumberFormat="1" applyFont="1" applyFill="1" applyBorder="1" applyAlignment="1">
      <alignment horizontal="center" vertical="center" wrapText="1"/>
    </xf>
    <xf numFmtId="0" fontId="5" fillId="0" borderId="222" xfId="0" applyNumberFormat="1" applyFont="1" applyFill="1" applyBorder="1" applyAlignment="1">
      <alignment horizontal="center" vertical="center" wrapText="1"/>
    </xf>
    <xf numFmtId="0" fontId="5" fillId="0" borderId="223" xfId="0" applyNumberFormat="1" applyFont="1" applyFill="1" applyBorder="1" applyAlignment="1">
      <alignment horizontal="center" vertical="center" wrapText="1"/>
    </xf>
    <xf numFmtId="0" fontId="13" fillId="0" borderId="110" xfId="0" applyNumberFormat="1" applyFont="1" applyFill="1" applyBorder="1" applyAlignment="1">
      <alignment horizontal="center" vertical="center" wrapText="1"/>
    </xf>
    <xf numFmtId="0" fontId="3" fillId="3" borderId="130" xfId="0" applyNumberFormat="1" applyFont="1" applyFill="1" applyBorder="1" applyAlignment="1">
      <alignment horizontal="center" vertical="center" wrapText="1"/>
    </xf>
    <xf numFmtId="0" fontId="3" fillId="3" borderId="131" xfId="0" applyNumberFormat="1" applyFont="1" applyFill="1" applyBorder="1" applyAlignment="1">
      <alignment horizontal="center" vertical="center" wrapText="1"/>
    </xf>
    <xf numFmtId="0" fontId="3" fillId="3" borderId="132" xfId="0" applyNumberFormat="1" applyFont="1" applyFill="1" applyBorder="1" applyAlignment="1">
      <alignment horizontal="center" vertical="center" wrapText="1"/>
    </xf>
    <xf numFmtId="0" fontId="3" fillId="4" borderId="133" xfId="0" applyNumberFormat="1" applyFont="1" applyFill="1" applyBorder="1" applyAlignment="1">
      <alignment horizontal="center" vertical="center" wrapText="1"/>
    </xf>
    <xf numFmtId="0" fontId="3" fillId="4" borderId="156" xfId="0" applyNumberFormat="1" applyFont="1" applyFill="1" applyBorder="1" applyAlignment="1">
      <alignment horizontal="center" vertical="center" wrapText="1"/>
    </xf>
    <xf numFmtId="0" fontId="3" fillId="4" borderId="157" xfId="0" applyNumberFormat="1" applyFont="1" applyFill="1" applyBorder="1" applyAlignment="1">
      <alignment horizontal="center" vertical="center" wrapText="1"/>
    </xf>
    <xf numFmtId="0" fontId="1" fillId="3" borderId="140" xfId="0" applyNumberFormat="1" applyFont="1" applyFill="1" applyBorder="1" applyAlignment="1">
      <alignment horizontal="center" vertical="center" wrapText="1"/>
    </xf>
    <xf numFmtId="0" fontId="1" fillId="3" borderId="141" xfId="0" quotePrefix="1" applyNumberFormat="1" applyFont="1" applyFill="1" applyBorder="1" applyAlignment="1">
      <alignment horizontal="center" vertical="center" wrapText="1"/>
    </xf>
    <xf numFmtId="0" fontId="1" fillId="3" borderId="142" xfId="0" applyNumberFormat="1" applyFont="1" applyFill="1" applyBorder="1" applyAlignment="1">
      <alignment horizontal="center" vertical="center" wrapText="1"/>
    </xf>
    <xf numFmtId="0" fontId="1" fillId="0" borderId="140" xfId="0" applyNumberFormat="1" applyFont="1" applyFill="1" applyBorder="1" applyAlignment="1">
      <alignment horizontal="center" vertical="center" wrapText="1"/>
    </xf>
    <xf numFmtId="0" fontId="1" fillId="0" borderId="141" xfId="0" quotePrefix="1" applyNumberFormat="1" applyFont="1" applyFill="1" applyBorder="1" applyAlignment="1">
      <alignment horizontal="center" vertical="center" wrapText="1"/>
    </xf>
    <xf numFmtId="0" fontId="1" fillId="0" borderId="141" xfId="0" applyNumberFormat="1" applyFont="1" applyFill="1" applyBorder="1" applyAlignment="1">
      <alignment horizontal="center" vertical="center" wrapText="1"/>
    </xf>
    <xf numFmtId="0" fontId="1" fillId="0" borderId="142" xfId="0" applyNumberFormat="1" applyFont="1" applyFill="1" applyBorder="1" applyAlignment="1">
      <alignment horizontal="center" vertical="center" wrapText="1"/>
    </xf>
    <xf numFmtId="0" fontId="1" fillId="3" borderId="133" xfId="0" applyNumberFormat="1" applyFont="1" applyFill="1" applyBorder="1" applyAlignment="1">
      <alignment horizontal="center" vertical="center" wrapText="1"/>
    </xf>
    <xf numFmtId="0" fontId="1" fillId="3" borderId="110" xfId="0" applyNumberFormat="1" applyFont="1" applyFill="1" applyBorder="1" applyAlignment="1">
      <alignment horizontal="center" vertical="center" wrapText="1"/>
    </xf>
    <xf numFmtId="0" fontId="1" fillId="3" borderId="97" xfId="0" applyNumberFormat="1" applyFont="1" applyFill="1" applyBorder="1" applyAlignment="1">
      <alignment horizontal="center" vertical="center" wrapText="1"/>
    </xf>
    <xf numFmtId="0" fontId="1" fillId="0" borderId="133" xfId="0" applyNumberFormat="1" applyFont="1" applyBorder="1" applyAlignment="1">
      <alignment horizontal="center" vertical="center" wrapText="1"/>
    </xf>
    <xf numFmtId="0" fontId="1" fillId="0" borderId="110" xfId="0" applyNumberFormat="1" applyFont="1" applyBorder="1" applyAlignment="1">
      <alignment horizontal="center" vertical="center" wrapText="1"/>
    </xf>
    <xf numFmtId="0" fontId="1" fillId="0" borderId="71" xfId="0" applyNumberFormat="1" applyFont="1" applyBorder="1" applyAlignment="1">
      <alignment horizontal="center" vertical="center" wrapText="1"/>
    </xf>
    <xf numFmtId="0" fontId="13" fillId="0" borderId="293" xfId="0" applyNumberFormat="1" applyFont="1" applyFill="1" applyBorder="1" applyAlignment="1" applyProtection="1">
      <alignment horizontal="center" vertical="center" wrapText="1"/>
    </xf>
    <xf numFmtId="0" fontId="13" fillId="0" borderId="294" xfId="0" applyNumberFormat="1" applyFont="1" applyFill="1" applyBorder="1" applyAlignment="1" applyProtection="1">
      <alignment horizontal="center" vertical="center" wrapText="1"/>
    </xf>
    <xf numFmtId="0" fontId="13" fillId="0" borderId="295" xfId="0" applyNumberFormat="1" applyFont="1" applyFill="1" applyBorder="1" applyAlignment="1" applyProtection="1">
      <alignment horizontal="center" vertical="center" wrapText="1"/>
    </xf>
    <xf numFmtId="0" fontId="13" fillId="0" borderId="137" xfId="0" applyNumberFormat="1" applyFont="1" applyFill="1" applyBorder="1" applyAlignment="1">
      <alignment horizontal="center" vertical="center" wrapText="1"/>
    </xf>
    <xf numFmtId="0" fontId="7" fillId="0" borderId="172" xfId="0" applyNumberFormat="1" applyFont="1" applyFill="1" applyBorder="1" applyAlignment="1" applyProtection="1">
      <alignment horizontal="center" vertical="center" wrapText="1"/>
    </xf>
    <xf numFmtId="0" fontId="1" fillId="0" borderId="202" xfId="0" applyNumberFormat="1" applyFont="1" applyFill="1" applyBorder="1" applyAlignment="1">
      <alignment horizontal="center" vertical="center" wrapText="1"/>
    </xf>
    <xf numFmtId="0" fontId="1" fillId="0" borderId="183" xfId="0" applyNumberFormat="1" applyFont="1" applyFill="1" applyBorder="1" applyAlignment="1">
      <alignment horizontal="center" vertical="center" wrapText="1"/>
    </xf>
    <xf numFmtId="0" fontId="9" fillId="0" borderId="231" xfId="0" applyNumberFormat="1" applyFont="1" applyBorder="1" applyAlignment="1">
      <alignment horizontal="center" vertical="center" shrinkToFit="1"/>
    </xf>
    <xf numFmtId="0" fontId="9" fillId="0" borderId="174" xfId="0" applyNumberFormat="1" applyFont="1" applyBorder="1" applyAlignment="1">
      <alignment horizontal="center" vertical="center" shrinkToFit="1"/>
    </xf>
    <xf numFmtId="0" fontId="9" fillId="0" borderId="324" xfId="0" applyNumberFormat="1" applyFont="1" applyBorder="1" applyAlignment="1">
      <alignment horizontal="center" vertical="center" shrinkToFit="1"/>
    </xf>
    <xf numFmtId="0" fontId="9" fillId="0" borderId="314" xfId="0" applyNumberFormat="1" applyFont="1" applyBorder="1" applyAlignment="1">
      <alignment horizontal="center" vertical="center" shrinkToFit="1"/>
    </xf>
    <xf numFmtId="0" fontId="9" fillId="0" borderId="315" xfId="0" applyNumberFormat="1" applyFont="1" applyBorder="1" applyAlignment="1">
      <alignment horizontal="center" vertical="center" shrinkToFit="1"/>
    </xf>
    <xf numFmtId="0" fontId="1" fillId="3" borderId="143" xfId="0" applyNumberFormat="1" applyFont="1" applyFill="1" applyBorder="1" applyAlignment="1">
      <alignment horizontal="center" vertical="center" wrapText="1"/>
    </xf>
    <xf numFmtId="0" fontId="1" fillId="3" borderId="110" xfId="0" quotePrefix="1" applyNumberFormat="1" applyFont="1" applyFill="1" applyBorder="1" applyAlignment="1">
      <alignment horizontal="center" vertical="center" wrapText="1"/>
    </xf>
    <xf numFmtId="0" fontId="1" fillId="3" borderId="93" xfId="0" applyNumberFormat="1" applyFont="1" applyFill="1" applyBorder="1" applyAlignment="1">
      <alignment horizontal="center" vertical="center" wrapText="1"/>
    </xf>
    <xf numFmtId="0" fontId="3" fillId="0" borderId="110" xfId="0" applyNumberFormat="1" applyFont="1" applyBorder="1" applyAlignment="1">
      <alignment horizontal="center" vertical="center" wrapText="1"/>
    </xf>
    <xf numFmtId="0" fontId="3" fillId="0" borderId="325" xfId="0" applyNumberFormat="1" applyFont="1" applyFill="1" applyBorder="1" applyAlignment="1">
      <alignment horizontal="center" vertical="center" wrapText="1"/>
    </xf>
    <xf numFmtId="0" fontId="3" fillId="0" borderId="170" xfId="0" applyNumberFormat="1" applyFont="1" applyFill="1" applyBorder="1" applyAlignment="1">
      <alignment horizontal="center" vertical="center" wrapText="1"/>
    </xf>
    <xf numFmtId="0" fontId="3" fillId="0" borderId="171" xfId="0" applyNumberFormat="1" applyFont="1" applyFill="1" applyBorder="1" applyAlignment="1">
      <alignment horizontal="center" vertical="center" wrapText="1"/>
    </xf>
    <xf numFmtId="0" fontId="26" fillId="0" borderId="231" xfId="0" applyNumberFormat="1" applyFont="1" applyFill="1" applyBorder="1" applyAlignment="1">
      <alignment horizontal="center" vertical="center" wrapText="1"/>
    </xf>
    <xf numFmtId="0" fontId="26" fillId="0" borderId="173" xfId="0" applyNumberFormat="1" applyFont="1" applyFill="1" applyBorder="1" applyAlignment="1">
      <alignment horizontal="center" vertical="center" wrapText="1"/>
    </xf>
    <xf numFmtId="0" fontId="26" fillId="0" borderId="174" xfId="0" applyNumberFormat="1" applyFont="1" applyFill="1" applyBorder="1" applyAlignment="1">
      <alignment horizontal="center" vertical="center" wrapText="1"/>
    </xf>
    <xf numFmtId="0" fontId="26" fillId="0" borderId="326" xfId="0" applyNumberFormat="1" applyFont="1" applyFill="1" applyBorder="1" applyAlignment="1">
      <alignment horizontal="center" vertical="center" wrapText="1"/>
    </xf>
    <xf numFmtId="0" fontId="26" fillId="0" borderId="294" xfId="0" applyNumberFormat="1" applyFont="1" applyFill="1" applyBorder="1" applyAlignment="1">
      <alignment horizontal="center" vertical="center" wrapText="1"/>
    </xf>
    <xf numFmtId="0" fontId="26" fillId="0" borderId="295" xfId="0" applyNumberFormat="1" applyFont="1" applyFill="1" applyBorder="1" applyAlignment="1">
      <alignment horizontal="center" vertical="center" wrapText="1"/>
    </xf>
    <xf numFmtId="0" fontId="7" fillId="0" borderId="111" xfId="0" applyNumberFormat="1" applyFont="1" applyFill="1" applyBorder="1" applyAlignment="1">
      <alignment horizontal="center" vertical="center" shrinkToFit="1"/>
    </xf>
    <xf numFmtId="0" fontId="7" fillId="0" borderId="112" xfId="0" applyNumberFormat="1" applyFont="1" applyFill="1" applyBorder="1" applyAlignment="1">
      <alignment horizontal="center" vertical="center" shrinkToFit="1"/>
    </xf>
    <xf numFmtId="0" fontId="1" fillId="0" borderId="179" xfId="0" applyNumberFormat="1" applyFont="1" applyBorder="1" applyAlignment="1">
      <alignment horizontal="center" vertical="center" shrinkToFit="1"/>
    </xf>
    <xf numFmtId="0" fontId="1" fillId="0" borderId="159" xfId="0" applyNumberFormat="1" applyFont="1" applyBorder="1" applyAlignment="1">
      <alignment horizontal="center" vertical="center" shrinkToFit="1"/>
    </xf>
    <xf numFmtId="0" fontId="1" fillId="0" borderId="72" xfId="0" applyNumberFormat="1" applyFont="1" applyBorder="1" applyAlignment="1">
      <alignment horizontal="center" vertical="center" shrinkToFit="1"/>
    </xf>
    <xf numFmtId="0" fontId="3" fillId="3" borderId="156" xfId="0" applyNumberFormat="1" applyFont="1" applyFill="1" applyBorder="1" applyAlignment="1">
      <alignment horizontal="center" vertical="center" shrinkToFit="1"/>
    </xf>
    <xf numFmtId="0" fontId="3" fillId="3" borderId="157" xfId="0" applyNumberFormat="1" applyFont="1" applyFill="1" applyBorder="1" applyAlignment="1">
      <alignment horizontal="center" vertical="center" shrinkToFit="1"/>
    </xf>
    <xf numFmtId="0" fontId="23" fillId="0" borderId="222" xfId="0" applyNumberFormat="1" applyFont="1" applyFill="1" applyBorder="1" applyAlignment="1">
      <alignment horizontal="center" vertical="center" wrapText="1"/>
    </xf>
    <xf numFmtId="0" fontId="23" fillId="0" borderId="134" xfId="0" applyNumberFormat="1" applyFont="1" applyFill="1" applyBorder="1" applyAlignment="1">
      <alignment horizontal="center" vertical="center" wrapText="1"/>
    </xf>
    <xf numFmtId="0" fontId="22" fillId="0" borderId="111" xfId="0" applyNumberFormat="1" applyFont="1" applyFill="1" applyBorder="1" applyAlignment="1">
      <alignment horizontal="center" vertical="center" wrapText="1"/>
    </xf>
    <xf numFmtId="0" fontId="22" fillId="0" borderId="137" xfId="0" applyNumberFormat="1" applyFont="1" applyFill="1" applyBorder="1" applyAlignment="1">
      <alignment horizontal="center" vertical="center" wrapText="1"/>
    </xf>
    <xf numFmtId="0" fontId="13" fillId="3" borderId="222" xfId="0" applyNumberFormat="1" applyFont="1" applyFill="1" applyBorder="1" applyAlignment="1">
      <alignment horizontal="center" vertical="center" wrapText="1"/>
    </xf>
    <xf numFmtId="0" fontId="13" fillId="3" borderId="134" xfId="0" applyNumberFormat="1" applyFont="1" applyFill="1" applyBorder="1" applyAlignment="1">
      <alignment horizontal="center" vertical="center" wrapText="1"/>
    </xf>
    <xf numFmtId="0" fontId="3" fillId="0" borderId="137" xfId="0" applyNumberFormat="1" applyFont="1" applyBorder="1" applyAlignment="1">
      <alignment horizontal="center" vertical="center" shrinkToFit="1"/>
    </xf>
    <xf numFmtId="0" fontId="3" fillId="0" borderId="138" xfId="0" applyNumberFormat="1" applyFont="1" applyBorder="1" applyAlignment="1">
      <alignment horizontal="center" vertical="center" shrinkToFit="1"/>
    </xf>
    <xf numFmtId="0" fontId="13" fillId="0" borderId="108" xfId="0" applyNumberFormat="1" applyFont="1" applyBorder="1" applyAlignment="1">
      <alignment horizontal="center" vertical="center" wrapText="1"/>
    </xf>
    <xf numFmtId="0" fontId="13" fillId="0" borderId="249" xfId="0" applyNumberFormat="1" applyFont="1" applyBorder="1" applyAlignment="1">
      <alignment horizontal="center" vertical="center" wrapText="1"/>
    </xf>
    <xf numFmtId="0" fontId="59" fillId="15" borderId="173" xfId="0" applyNumberFormat="1" applyFont="1" applyFill="1" applyBorder="1" applyAlignment="1">
      <alignment horizontal="center" vertical="center" shrinkToFit="1"/>
    </xf>
    <xf numFmtId="0" fontId="59" fillId="15" borderId="266" xfId="0" applyNumberFormat="1" applyFont="1" applyFill="1" applyBorder="1" applyAlignment="1">
      <alignment horizontal="center" vertical="center" shrinkToFit="1"/>
    </xf>
    <xf numFmtId="0" fontId="47" fillId="3" borderId="377" xfId="0" applyNumberFormat="1" applyFont="1" applyFill="1" applyBorder="1" applyAlignment="1">
      <alignment horizontal="center" vertical="center" shrinkToFit="1"/>
    </xf>
    <xf numFmtId="0" fontId="47" fillId="3" borderId="312" xfId="0" applyNumberFormat="1" applyFont="1" applyFill="1" applyBorder="1" applyAlignment="1">
      <alignment horizontal="center" vertical="center" shrinkToFit="1"/>
    </xf>
    <xf numFmtId="0" fontId="47" fillId="3" borderId="313" xfId="0" applyNumberFormat="1" applyFont="1" applyFill="1" applyBorder="1" applyAlignment="1">
      <alignment horizontal="center" vertical="center" shrinkToFit="1"/>
    </xf>
    <xf numFmtId="0" fontId="6" fillId="0" borderId="401" xfId="0" applyNumberFormat="1" applyFont="1" applyFill="1" applyBorder="1" applyAlignment="1" applyProtection="1">
      <alignment horizontal="center" vertical="center" wrapText="1"/>
    </xf>
    <xf numFmtId="0" fontId="1" fillId="0" borderId="254" xfId="0" applyNumberFormat="1" applyFont="1" applyFill="1" applyBorder="1" applyAlignment="1">
      <alignment horizontal="center" vertical="center" shrinkToFit="1"/>
    </xf>
    <xf numFmtId="0" fontId="1" fillId="0" borderId="256" xfId="0" applyNumberFormat="1" applyFont="1" applyFill="1" applyBorder="1" applyAlignment="1">
      <alignment horizontal="center" vertical="center" shrinkToFit="1"/>
    </xf>
    <xf numFmtId="0" fontId="3" fillId="0" borderId="238" xfId="0" applyNumberFormat="1" applyFont="1" applyFill="1" applyBorder="1" applyAlignment="1" applyProtection="1">
      <alignment horizontal="center" vertical="center" wrapText="1"/>
    </xf>
    <xf numFmtId="0" fontId="3" fillId="0" borderId="135" xfId="0" applyNumberFormat="1" applyFont="1" applyFill="1" applyBorder="1" applyAlignment="1" applyProtection="1">
      <alignment horizontal="center" vertical="center" wrapText="1"/>
    </xf>
    <xf numFmtId="0" fontId="3" fillId="0" borderId="136" xfId="0" applyNumberFormat="1" applyFont="1" applyFill="1" applyBorder="1" applyAlignment="1" applyProtection="1">
      <alignment horizontal="center" vertical="center" wrapText="1"/>
    </xf>
    <xf numFmtId="0" fontId="31" fillId="0" borderId="266" xfId="0" applyNumberFormat="1" applyFont="1" applyFill="1" applyBorder="1" applyAlignment="1">
      <alignment horizontal="center" vertical="center" shrinkToFit="1"/>
    </xf>
    <xf numFmtId="0" fontId="20" fillId="0" borderId="138" xfId="0" applyNumberFormat="1" applyFont="1" applyFill="1" applyBorder="1" applyAlignment="1">
      <alignment horizontal="center" vertical="center" wrapText="1"/>
    </xf>
    <xf numFmtId="0" fontId="20" fillId="0" borderId="139" xfId="0" applyNumberFormat="1" applyFont="1" applyFill="1" applyBorder="1" applyAlignment="1">
      <alignment horizontal="center" vertical="center" wrapText="1"/>
    </xf>
    <xf numFmtId="0" fontId="30" fillId="0" borderId="138" xfId="0" applyNumberFormat="1" applyFont="1" applyFill="1" applyBorder="1" applyAlignment="1">
      <alignment horizontal="center" vertical="center" wrapText="1"/>
    </xf>
    <xf numFmtId="0" fontId="30" fillId="0" borderId="139" xfId="0" applyNumberFormat="1" applyFont="1" applyFill="1" applyBorder="1" applyAlignment="1">
      <alignment horizontal="center" vertical="center" wrapText="1"/>
    </xf>
    <xf numFmtId="0" fontId="3" fillId="3" borderId="135" xfId="0" applyNumberFormat="1" applyFont="1" applyFill="1" applyBorder="1" applyAlignment="1">
      <alignment horizontal="center" vertical="center" wrapText="1"/>
    </xf>
    <xf numFmtId="0" fontId="3" fillId="3" borderId="136" xfId="0" applyNumberFormat="1" applyFont="1" applyFill="1" applyBorder="1" applyAlignment="1">
      <alignment horizontal="center" vertical="center" wrapText="1"/>
    </xf>
    <xf numFmtId="0" fontId="33" fillId="7" borderId="316" xfId="0" applyNumberFormat="1" applyFont="1" applyFill="1" applyBorder="1" applyAlignment="1" applyProtection="1">
      <alignment horizontal="center" vertical="center" wrapText="1"/>
    </xf>
    <xf numFmtId="0" fontId="33" fillId="7" borderId="317" xfId="0" applyNumberFormat="1" applyFont="1" applyFill="1" applyBorder="1" applyAlignment="1" applyProtection="1">
      <alignment horizontal="center" vertical="center" wrapText="1"/>
    </xf>
    <xf numFmtId="0" fontId="33" fillId="7" borderId="318" xfId="0" applyNumberFormat="1" applyFont="1" applyFill="1" applyBorder="1" applyAlignment="1" applyProtection="1">
      <alignment horizontal="center" vertical="center" wrapText="1"/>
    </xf>
    <xf numFmtId="0" fontId="1" fillId="7" borderId="179" xfId="0" applyNumberFormat="1" applyFont="1" applyFill="1" applyBorder="1" applyAlignment="1" applyProtection="1">
      <alignment horizontal="center" vertical="center" wrapText="1"/>
    </xf>
    <xf numFmtId="0" fontId="1" fillId="7" borderId="180" xfId="0" applyNumberFormat="1" applyFont="1" applyFill="1" applyBorder="1" applyAlignment="1" applyProtection="1">
      <alignment horizontal="center" vertical="center" wrapText="1"/>
    </xf>
    <xf numFmtId="0" fontId="1" fillId="7" borderId="159" xfId="0" applyNumberFormat="1" applyFont="1" applyFill="1" applyBorder="1" applyAlignment="1" applyProtection="1">
      <alignment horizontal="center" vertical="center" wrapText="1"/>
    </xf>
    <xf numFmtId="0" fontId="1" fillId="7" borderId="181" xfId="0" applyNumberFormat="1" applyFont="1" applyFill="1" applyBorder="1" applyAlignment="1" applyProtection="1">
      <alignment horizontal="center" vertical="center" wrapText="1"/>
    </xf>
    <xf numFmtId="0" fontId="3" fillId="7" borderId="261" xfId="0" applyNumberFormat="1" applyFont="1" applyFill="1" applyBorder="1" applyAlignment="1" applyProtection="1">
      <alignment horizontal="center" vertical="center" wrapText="1"/>
    </xf>
    <xf numFmtId="0" fontId="3" fillId="7" borderId="262" xfId="0" applyNumberFormat="1" applyFont="1" applyFill="1" applyBorder="1" applyAlignment="1" applyProtection="1">
      <alignment horizontal="center" vertical="center" wrapText="1"/>
    </xf>
    <xf numFmtId="0" fontId="3" fillId="7" borderId="263" xfId="0" applyNumberFormat="1" applyFont="1" applyFill="1" applyBorder="1" applyAlignment="1" applyProtection="1">
      <alignment horizontal="center" vertical="center" wrapText="1"/>
    </xf>
    <xf numFmtId="0" fontId="61" fillId="7" borderId="253" xfId="0" applyNumberFormat="1" applyFont="1" applyFill="1" applyBorder="1" applyAlignment="1" applyProtection="1">
      <alignment horizontal="center" vertical="center" wrapText="1"/>
    </xf>
    <xf numFmtId="0" fontId="61" fillId="7" borderId="201" xfId="0" applyNumberFormat="1" applyFont="1" applyFill="1" applyBorder="1" applyAlignment="1" applyProtection="1">
      <alignment horizontal="center" vertical="center" wrapText="1"/>
    </xf>
    <xf numFmtId="0" fontId="61" fillId="7" borderId="44" xfId="0" applyNumberFormat="1" applyFont="1" applyFill="1" applyBorder="1" applyAlignment="1" applyProtection="1">
      <alignment horizontal="center" vertical="center" wrapText="1"/>
    </xf>
    <xf numFmtId="0" fontId="17" fillId="10" borderId="148" xfId="0" applyNumberFormat="1" applyFont="1" applyFill="1" applyBorder="1" applyAlignment="1">
      <alignment horizontal="center" vertical="center" wrapText="1"/>
    </xf>
    <xf numFmtId="0" fontId="17" fillId="10" borderId="154" xfId="0" applyNumberFormat="1" applyFont="1" applyFill="1" applyBorder="1" applyAlignment="1">
      <alignment horizontal="center" vertical="center" wrapText="1"/>
    </xf>
    <xf numFmtId="0" fontId="17" fillId="10" borderId="220" xfId="0" applyNumberFormat="1" applyFont="1" applyFill="1" applyBorder="1" applyAlignment="1">
      <alignment horizontal="center" vertical="center" wrapText="1"/>
    </xf>
    <xf numFmtId="177" fontId="1" fillId="15" borderId="175" xfId="0" applyNumberFormat="1" applyFont="1" applyFill="1" applyBorder="1" applyAlignment="1">
      <alignment horizontal="center" vertical="center" wrapText="1"/>
    </xf>
    <xf numFmtId="177" fontId="1" fillId="15" borderId="177" xfId="0" applyNumberFormat="1" applyFont="1" applyFill="1" applyBorder="1" applyAlignment="1">
      <alignment horizontal="center" vertical="center" wrapText="1"/>
    </xf>
    <xf numFmtId="177" fontId="1" fillId="15" borderId="221" xfId="0" applyNumberFormat="1" applyFont="1" applyFill="1" applyBorder="1" applyAlignment="1">
      <alignment horizontal="center" vertical="center" wrapText="1"/>
    </xf>
    <xf numFmtId="0" fontId="1" fillId="13" borderId="158" xfId="0" applyNumberFormat="1" applyFont="1" applyFill="1" applyBorder="1" applyAlignment="1">
      <alignment horizontal="center" vertical="center" wrapText="1"/>
    </xf>
    <xf numFmtId="0" fontId="1" fillId="13" borderId="159" xfId="0" applyNumberFormat="1" applyFont="1" applyFill="1" applyBorder="1" applyAlignment="1">
      <alignment horizontal="center" vertical="center" wrapText="1"/>
    </xf>
    <xf numFmtId="0" fontId="1" fillId="13" borderId="208" xfId="0" applyNumberFormat="1" applyFont="1" applyFill="1" applyBorder="1" applyAlignment="1">
      <alignment horizontal="center" vertical="center" wrapText="1"/>
    </xf>
    <xf numFmtId="0" fontId="1" fillId="15" borderId="216" xfId="0" applyNumberFormat="1" applyFont="1" applyFill="1" applyBorder="1" applyAlignment="1">
      <alignment horizontal="center" vertical="center" wrapText="1"/>
    </xf>
    <xf numFmtId="0" fontId="1" fillId="15" borderId="192" xfId="0" applyNumberFormat="1" applyFont="1" applyFill="1" applyBorder="1" applyAlignment="1">
      <alignment horizontal="center" vertical="center" wrapText="1"/>
    </xf>
    <xf numFmtId="0" fontId="1" fillId="15" borderId="217" xfId="0" applyNumberFormat="1" applyFont="1" applyFill="1" applyBorder="1" applyAlignment="1">
      <alignment horizontal="center" vertical="center" wrapText="1"/>
    </xf>
    <xf numFmtId="0" fontId="13" fillId="0" borderId="222" xfId="0" applyNumberFormat="1" applyFont="1" applyFill="1" applyBorder="1" applyAlignment="1">
      <alignment horizontal="center" vertical="center" wrapText="1"/>
    </xf>
    <xf numFmtId="0" fontId="13" fillId="0" borderId="223" xfId="0" applyNumberFormat="1" applyFont="1" applyFill="1" applyBorder="1" applyAlignment="1">
      <alignment horizontal="center" vertical="center" wrapText="1"/>
    </xf>
    <xf numFmtId="0" fontId="3" fillId="3" borderId="137" xfId="0" applyNumberFormat="1" applyFont="1" applyFill="1" applyBorder="1" applyAlignment="1">
      <alignment horizontal="center" vertical="center" wrapText="1"/>
    </xf>
    <xf numFmtId="0" fontId="1" fillId="3" borderId="158" xfId="0" applyNumberFormat="1" applyFont="1" applyFill="1" applyBorder="1" applyAlignment="1">
      <alignment horizontal="center" vertical="center" wrapText="1"/>
    </xf>
    <xf numFmtId="0" fontId="1" fillId="3" borderId="159" xfId="0" applyNumberFormat="1" applyFont="1" applyFill="1" applyBorder="1" applyAlignment="1">
      <alignment horizontal="center" vertical="center" wrapText="1"/>
    </xf>
    <xf numFmtId="0" fontId="1" fillId="3" borderId="208" xfId="0" applyNumberFormat="1" applyFont="1" applyFill="1" applyBorder="1" applyAlignment="1">
      <alignment horizontal="center" vertical="center" wrapText="1"/>
    </xf>
    <xf numFmtId="0" fontId="13" fillId="0" borderId="134" xfId="0" applyNumberFormat="1" applyFont="1" applyFill="1" applyBorder="1" applyAlignment="1">
      <alignment horizontal="center" vertical="center" wrapText="1"/>
    </xf>
    <xf numFmtId="0" fontId="9" fillId="0" borderId="137" xfId="0" applyNumberFormat="1" applyFont="1" applyFill="1" applyBorder="1" applyAlignment="1">
      <alignment horizontal="center" vertical="center" wrapText="1"/>
    </xf>
    <xf numFmtId="0" fontId="45" fillId="0" borderId="270" xfId="0" applyNumberFormat="1" applyFont="1" applyFill="1" applyBorder="1" applyAlignment="1" applyProtection="1">
      <alignment horizontal="center" vertical="center" wrapText="1"/>
    </xf>
    <xf numFmtId="0" fontId="45" fillId="0" borderId="320" xfId="0" applyNumberFormat="1" applyFont="1" applyFill="1" applyBorder="1" applyAlignment="1" applyProtection="1">
      <alignment horizontal="center" vertical="center" wrapText="1"/>
    </xf>
    <xf numFmtId="0" fontId="45" fillId="0" borderId="213" xfId="0" applyNumberFormat="1" applyFont="1" applyFill="1" applyBorder="1" applyAlignment="1" applyProtection="1">
      <alignment horizontal="center" vertical="center" wrapText="1"/>
    </xf>
    <xf numFmtId="0" fontId="45" fillId="0" borderId="321" xfId="0" applyNumberFormat="1" applyFont="1" applyFill="1" applyBorder="1" applyAlignment="1" applyProtection="1">
      <alignment horizontal="center" vertical="center" wrapText="1"/>
    </xf>
    <xf numFmtId="0" fontId="45" fillId="0" borderId="0" xfId="0" applyNumberFormat="1" applyFont="1" applyFill="1" applyBorder="1" applyAlignment="1" applyProtection="1">
      <alignment horizontal="center" vertical="center" wrapText="1"/>
    </xf>
    <xf numFmtId="0" fontId="45" fillId="0" borderId="40" xfId="0" applyNumberFormat="1" applyFont="1" applyFill="1" applyBorder="1" applyAlignment="1" applyProtection="1">
      <alignment horizontal="center" vertical="center" wrapText="1"/>
    </xf>
    <xf numFmtId="0" fontId="45" fillId="0" borderId="182" xfId="0" applyNumberFormat="1" applyFont="1" applyFill="1" applyBorder="1" applyAlignment="1" applyProtection="1">
      <alignment horizontal="center" vertical="center" wrapText="1"/>
    </xf>
    <xf numFmtId="0" fontId="45" fillId="0" borderId="243" xfId="0" applyNumberFormat="1" applyFont="1" applyFill="1" applyBorder="1" applyAlignment="1" applyProtection="1">
      <alignment horizontal="center" vertical="center" wrapText="1"/>
    </xf>
    <xf numFmtId="0" fontId="45" fillId="0" borderId="244" xfId="0" applyNumberFormat="1" applyFont="1" applyFill="1" applyBorder="1" applyAlignment="1" applyProtection="1">
      <alignment horizontal="center" vertical="center" wrapText="1"/>
    </xf>
    <xf numFmtId="0" fontId="17" fillId="10" borderId="150" xfId="0" applyNumberFormat="1" applyFont="1" applyFill="1" applyBorder="1" applyAlignment="1">
      <alignment horizontal="center" vertical="center" wrapText="1"/>
    </xf>
    <xf numFmtId="0" fontId="17" fillId="10" borderId="85" xfId="0" applyNumberFormat="1" applyFont="1" applyFill="1" applyBorder="1" applyAlignment="1">
      <alignment horizontal="center" vertical="center" wrapText="1"/>
    </xf>
    <xf numFmtId="0" fontId="17" fillId="10" borderId="7" xfId="0" applyNumberFormat="1" applyFont="1" applyFill="1" applyBorder="1" applyAlignment="1">
      <alignment horizontal="center" vertical="center" wrapText="1"/>
    </xf>
    <xf numFmtId="0" fontId="17" fillId="10" borderId="236" xfId="0" applyNumberFormat="1" applyFont="1" applyFill="1" applyBorder="1" applyAlignment="1">
      <alignment horizontal="center" vertical="center" wrapText="1"/>
    </xf>
    <xf numFmtId="0" fontId="17" fillId="10" borderId="127" xfId="0" quotePrefix="1" applyNumberFormat="1" applyFont="1" applyFill="1" applyBorder="1" applyAlignment="1">
      <alignment horizontal="center" vertical="center" wrapText="1"/>
    </xf>
    <xf numFmtId="0" fontId="17" fillId="10" borderId="127" xfId="0" applyNumberFormat="1" applyFont="1" applyFill="1" applyBorder="1" applyAlignment="1">
      <alignment horizontal="center" vertical="center" wrapText="1"/>
    </xf>
    <xf numFmtId="0" fontId="17" fillId="10" borderId="214" xfId="0" applyNumberFormat="1" applyFont="1" applyFill="1" applyBorder="1" applyAlignment="1">
      <alignment horizontal="center" vertical="center" wrapText="1"/>
    </xf>
    <xf numFmtId="0" fontId="17" fillId="10" borderId="16" xfId="0" applyNumberFormat="1" applyFont="1" applyFill="1" applyBorder="1" applyAlignment="1">
      <alignment horizontal="center" vertical="center" wrapText="1"/>
    </xf>
    <xf numFmtId="0" fontId="17" fillId="10" borderId="126" xfId="0" applyNumberFormat="1" applyFont="1" applyFill="1" applyBorder="1" applyAlignment="1">
      <alignment horizontal="center" vertical="center" wrapText="1"/>
    </xf>
    <xf numFmtId="0" fontId="17" fillId="10" borderId="259" xfId="0" applyNumberFormat="1" applyFont="1" applyFill="1" applyBorder="1" applyAlignment="1">
      <alignment horizontal="center" vertical="center" wrapText="1"/>
    </xf>
    <xf numFmtId="0" fontId="17" fillId="10" borderId="240" xfId="0" applyNumberFormat="1" applyFont="1" applyFill="1" applyBorder="1" applyAlignment="1">
      <alignment horizontal="center" vertical="center" wrapText="1"/>
    </xf>
    <xf numFmtId="0" fontId="17" fillId="10" borderId="267" xfId="0" applyNumberFormat="1" applyFont="1" applyFill="1" applyBorder="1" applyAlignment="1">
      <alignment horizontal="center" vertical="center" wrapText="1"/>
    </xf>
    <xf numFmtId="0" fontId="17" fillId="10" borderId="200" xfId="0" applyNumberFormat="1" applyFont="1" applyFill="1" applyBorder="1" applyAlignment="1">
      <alignment horizontal="center" vertical="center" wrapText="1"/>
    </xf>
    <xf numFmtId="0" fontId="17" fillId="10" borderId="268" xfId="0" applyNumberFormat="1" applyFont="1" applyFill="1" applyBorder="1" applyAlignment="1">
      <alignment horizontal="center" vertical="center" wrapText="1"/>
    </xf>
    <xf numFmtId="0" fontId="17" fillId="10" borderId="49" xfId="0" applyNumberFormat="1" applyFont="1" applyFill="1" applyBorder="1" applyAlignment="1" applyProtection="1">
      <alignment horizontal="center" vertical="center" wrapText="1"/>
    </xf>
    <xf numFmtId="0" fontId="17" fillId="10" borderId="27" xfId="0" applyNumberFormat="1" applyFont="1" applyFill="1" applyBorder="1" applyAlignment="1" applyProtection="1">
      <alignment horizontal="center" vertical="center" wrapText="1"/>
    </xf>
    <xf numFmtId="0" fontId="17" fillId="10" borderId="50" xfId="0" applyNumberFormat="1" applyFont="1" applyFill="1" applyBorder="1" applyAlignment="1" applyProtection="1">
      <alignment horizontal="center" vertical="center" wrapText="1"/>
    </xf>
    <xf numFmtId="0" fontId="17" fillId="10" borderId="273" xfId="0" applyNumberFormat="1" applyFont="1" applyFill="1" applyBorder="1" applyAlignment="1">
      <alignment horizontal="center" vertical="center" wrapText="1"/>
    </xf>
    <xf numFmtId="0" fontId="17" fillId="10" borderId="44" xfId="0" applyNumberFormat="1" applyFont="1" applyFill="1" applyBorder="1" applyAlignment="1">
      <alignment horizontal="center" vertical="center" wrapText="1"/>
    </xf>
    <xf numFmtId="0" fontId="17" fillId="10" borderId="274" xfId="0" applyNumberFormat="1" applyFont="1" applyFill="1" applyBorder="1" applyAlignment="1">
      <alignment horizontal="center" vertical="center" wrapText="1"/>
    </xf>
    <xf numFmtId="0" fontId="17" fillId="10" borderId="16" xfId="0" applyNumberFormat="1" applyFont="1" applyFill="1" applyBorder="1" applyAlignment="1" applyProtection="1">
      <alignment horizontal="center" vertical="center" wrapText="1"/>
    </xf>
    <xf numFmtId="0" fontId="17" fillId="10" borderId="7" xfId="0" applyNumberFormat="1" applyFont="1" applyFill="1" applyBorder="1" applyAlignment="1" applyProtection="1">
      <alignment horizontal="center" vertical="center" wrapText="1"/>
    </xf>
    <xf numFmtId="0" fontId="17" fillId="10" borderId="264" xfId="0" applyNumberFormat="1" applyFont="1" applyFill="1" applyBorder="1" applyAlignment="1" applyProtection="1">
      <alignment horizontal="center" vertical="center" wrapText="1"/>
    </xf>
    <xf numFmtId="0" fontId="17" fillId="10" borderId="126" xfId="0" applyNumberFormat="1" applyFont="1" applyFill="1" applyBorder="1" applyAlignment="1" applyProtection="1">
      <alignment horizontal="center" vertical="center" wrapText="1"/>
    </xf>
    <xf numFmtId="0" fontId="17" fillId="10" borderId="127" xfId="0" quotePrefix="1" applyNumberFormat="1" applyFont="1" applyFill="1" applyBorder="1" applyAlignment="1" applyProtection="1">
      <alignment horizontal="center" vertical="center" wrapText="1"/>
    </xf>
    <xf numFmtId="0" fontId="17" fillId="10" borderId="127" xfId="0" applyNumberFormat="1" applyFont="1" applyFill="1" applyBorder="1" applyAlignment="1" applyProtection="1">
      <alignment horizontal="center" vertical="center" wrapText="1"/>
    </xf>
    <xf numFmtId="0" fontId="17" fillId="10" borderId="128" xfId="0" applyNumberFormat="1" applyFont="1" applyFill="1" applyBorder="1" applyAlignment="1" applyProtection="1">
      <alignment horizontal="center" vertical="center" wrapText="1"/>
    </xf>
    <xf numFmtId="0" fontId="17" fillId="10" borderId="148" xfId="0" applyNumberFormat="1" applyFont="1" applyFill="1" applyBorder="1" applyAlignment="1" applyProtection="1">
      <alignment horizontal="center" vertical="center" wrapText="1"/>
    </xf>
    <xf numFmtId="0" fontId="16" fillId="0" borderId="188" xfId="0" applyNumberFormat="1" applyFont="1" applyFill="1" applyBorder="1" applyAlignment="1" applyProtection="1">
      <alignment horizontal="center" vertical="center"/>
    </xf>
    <xf numFmtId="0" fontId="70" fillId="0" borderId="308" xfId="0" applyNumberFormat="1" applyFont="1" applyFill="1" applyBorder="1" applyAlignment="1">
      <alignment horizontal="center" vertical="center" wrapText="1"/>
    </xf>
    <xf numFmtId="0" fontId="70" fillId="0" borderId="243" xfId="0" applyNumberFormat="1" applyFont="1" applyFill="1" applyBorder="1" applyAlignment="1">
      <alignment horizontal="center" vertical="center" wrapText="1"/>
    </xf>
    <xf numFmtId="0" fontId="70" fillId="0" borderId="244" xfId="0" applyNumberFormat="1" applyFont="1" applyFill="1" applyBorder="1" applyAlignment="1">
      <alignment horizontal="center" vertical="center" wrapText="1"/>
    </xf>
    <xf numFmtId="0" fontId="0" fillId="0" borderId="137" xfId="0" applyNumberFormat="1" applyFont="1" applyFill="1" applyBorder="1" applyAlignment="1" applyProtection="1">
      <alignment horizontal="center" vertical="center"/>
    </xf>
    <xf numFmtId="0" fontId="0" fillId="0" borderId="138" xfId="0" applyNumberFormat="1" applyFont="1" applyFill="1" applyBorder="1" applyAlignment="1" applyProtection="1">
      <alignment horizontal="center" vertical="center"/>
    </xf>
    <xf numFmtId="0" fontId="0" fillId="0" borderId="139" xfId="0" applyNumberFormat="1" applyFont="1" applyFill="1" applyBorder="1" applyAlignment="1" applyProtection="1">
      <alignment horizontal="center" vertical="center"/>
    </xf>
    <xf numFmtId="0" fontId="7" fillId="0" borderId="409" xfId="0" applyNumberFormat="1" applyFont="1" applyFill="1" applyBorder="1" applyAlignment="1">
      <alignment horizontal="center" vertical="center" wrapText="1"/>
    </xf>
    <xf numFmtId="0" fontId="7" fillId="0" borderId="403" xfId="0" applyNumberFormat="1" applyFont="1" applyFill="1" applyBorder="1" applyAlignment="1">
      <alignment horizontal="center" vertical="center" wrapText="1"/>
    </xf>
    <xf numFmtId="0" fontId="1" fillId="11" borderId="441" xfId="0" applyNumberFormat="1" applyFont="1" applyFill="1" applyBorder="1" applyAlignment="1">
      <alignment horizontal="center" vertical="center" wrapText="1"/>
    </xf>
    <xf numFmtId="0" fontId="1" fillId="11" borderId="371" xfId="0" applyNumberFormat="1" applyFont="1" applyFill="1" applyBorder="1" applyAlignment="1">
      <alignment horizontal="center" vertical="center" wrapText="1"/>
    </xf>
    <xf numFmtId="0" fontId="1" fillId="0" borderId="158" xfId="0" applyNumberFormat="1" applyFont="1" applyBorder="1" applyAlignment="1">
      <alignment horizontal="center" vertical="center" wrapText="1"/>
    </xf>
    <xf numFmtId="0" fontId="1" fillId="0" borderId="159" xfId="0" applyNumberFormat="1" applyFont="1" applyBorder="1" applyAlignment="1">
      <alignment horizontal="center" vertical="center" wrapText="1"/>
    </xf>
    <xf numFmtId="0" fontId="1" fillId="0" borderId="181" xfId="0" applyNumberFormat="1" applyFont="1" applyBorder="1" applyAlignment="1">
      <alignment horizontal="center" vertical="center" wrapText="1"/>
    </xf>
    <xf numFmtId="0" fontId="1" fillId="11" borderId="443" xfId="0" applyNumberFormat="1" applyFont="1" applyFill="1" applyBorder="1" applyAlignment="1">
      <alignment horizontal="center" vertical="center" wrapText="1"/>
    </xf>
    <xf numFmtId="0" fontId="29" fillId="0" borderId="111" xfId="0" applyNumberFormat="1" applyFont="1" applyFill="1" applyBorder="1" applyAlignment="1">
      <alignment horizontal="center" vertical="center" wrapText="1"/>
    </xf>
    <xf numFmtId="0" fontId="30" fillId="0" borderId="111" xfId="0" applyNumberFormat="1" applyFont="1" applyFill="1" applyBorder="1" applyAlignment="1">
      <alignment horizontal="center" vertical="center" wrapText="1"/>
    </xf>
    <xf numFmtId="0" fontId="30" fillId="0" borderId="112" xfId="0" applyNumberFormat="1" applyFont="1" applyFill="1" applyBorder="1" applyAlignment="1">
      <alignment horizontal="center" vertical="center" wrapText="1"/>
    </xf>
    <xf numFmtId="0" fontId="1" fillId="0" borderId="158" xfId="0" applyNumberFormat="1" applyFont="1" applyFill="1" applyBorder="1" applyAlignment="1">
      <alignment horizontal="center" vertical="center" wrapText="1"/>
    </xf>
    <xf numFmtId="0" fontId="1" fillId="0" borderId="159" xfId="0" applyNumberFormat="1" applyFont="1" applyFill="1" applyBorder="1" applyAlignment="1">
      <alignment horizontal="center" vertical="center" wrapText="1"/>
    </xf>
    <xf numFmtId="0" fontId="1" fillId="0" borderId="208" xfId="0" applyNumberFormat="1" applyFont="1" applyFill="1" applyBorder="1" applyAlignment="1">
      <alignment horizontal="center" vertical="center" wrapText="1"/>
    </xf>
    <xf numFmtId="0" fontId="14" fillId="10" borderId="277" xfId="0" applyNumberFormat="1" applyFont="1" applyFill="1" applyBorder="1" applyAlignment="1" applyProtection="1">
      <alignment horizontal="center" vertical="center" wrapText="1"/>
    </xf>
    <xf numFmtId="0" fontId="14" fillId="10" borderId="278" xfId="0" applyNumberFormat="1" applyFont="1" applyFill="1" applyBorder="1" applyAlignment="1" applyProtection="1">
      <alignment horizontal="center" vertical="center" wrapText="1"/>
    </xf>
    <xf numFmtId="0" fontId="14" fillId="10" borderId="412" xfId="0" applyNumberFormat="1" applyFont="1" applyFill="1" applyBorder="1" applyAlignment="1" applyProtection="1">
      <alignment horizontal="center" vertical="center" wrapText="1"/>
    </xf>
    <xf numFmtId="0" fontId="1" fillId="5" borderId="437" xfId="0" applyNumberFormat="1" applyFont="1" applyFill="1" applyBorder="1" applyAlignment="1">
      <alignment horizontal="center" vertical="center" wrapText="1"/>
    </xf>
    <xf numFmtId="0" fontId="1" fillId="5" borderId="159" xfId="0" applyNumberFormat="1" applyFont="1" applyFill="1" applyBorder="1" applyAlignment="1">
      <alignment horizontal="center" vertical="center" wrapText="1"/>
    </xf>
    <xf numFmtId="0" fontId="1" fillId="5" borderId="181" xfId="0" applyNumberFormat="1" applyFont="1" applyFill="1" applyBorder="1" applyAlignment="1">
      <alignment horizontal="center" vertical="center" wrapText="1"/>
    </xf>
    <xf numFmtId="0" fontId="33" fillId="5" borderId="321" xfId="0" applyNumberFormat="1" applyFont="1" applyFill="1" applyBorder="1" applyAlignment="1" applyProtection="1">
      <alignment horizontal="center" vertical="center" wrapText="1"/>
    </xf>
    <xf numFmtId="0" fontId="33" fillId="5" borderId="0" xfId="0" applyNumberFormat="1" applyFont="1" applyFill="1" applyBorder="1" applyAlignment="1" applyProtection="1">
      <alignment horizontal="center" vertical="center" wrapText="1"/>
    </xf>
    <xf numFmtId="0" fontId="33" fillId="5" borderId="40" xfId="0" applyNumberFormat="1" applyFont="1" applyFill="1" applyBorder="1" applyAlignment="1" applyProtection="1">
      <alignment horizontal="center" vertical="center" wrapText="1"/>
    </xf>
    <xf numFmtId="0" fontId="26" fillId="5" borderId="321" xfId="0" applyNumberFormat="1" applyFont="1" applyFill="1" applyBorder="1" applyAlignment="1" applyProtection="1">
      <alignment horizontal="center" vertical="center" wrapText="1"/>
    </xf>
    <xf numFmtId="0" fontId="35" fillId="5" borderId="0" xfId="0" applyNumberFormat="1" applyFont="1" applyFill="1" applyBorder="1" applyAlignment="1" applyProtection="1">
      <alignment horizontal="center" vertical="center" wrapText="1"/>
    </xf>
    <xf numFmtId="0" fontId="35" fillId="5" borderId="40" xfId="0" applyNumberFormat="1" applyFont="1" applyFill="1" applyBorder="1" applyAlignment="1" applyProtection="1">
      <alignment horizontal="center" vertical="center" wrapText="1"/>
    </xf>
    <xf numFmtId="0" fontId="33" fillId="5" borderId="182" xfId="0" applyNumberFormat="1" applyFont="1" applyFill="1" applyBorder="1" applyAlignment="1" applyProtection="1">
      <alignment horizontal="center" vertical="center" wrapText="1"/>
    </xf>
    <xf numFmtId="0" fontId="33" fillId="5" borderId="243" xfId="0" applyNumberFormat="1" applyFont="1" applyFill="1" applyBorder="1" applyAlignment="1" applyProtection="1">
      <alignment horizontal="center" vertical="center" wrapText="1"/>
    </xf>
    <xf numFmtId="0" fontId="33" fillId="5" borderId="244" xfId="0" applyNumberFormat="1" applyFont="1" applyFill="1" applyBorder="1" applyAlignment="1" applyProtection="1">
      <alignment horizontal="center" vertical="center" wrapText="1"/>
    </xf>
    <xf numFmtId="0" fontId="63" fillId="0" borderId="298" xfId="0" applyNumberFormat="1" applyFont="1" applyBorder="1" applyAlignment="1">
      <alignment vertical="center" wrapText="1" shrinkToFit="1"/>
    </xf>
    <xf numFmtId="0" fontId="63" fillId="0" borderId="299" xfId="0" applyNumberFormat="1" applyFont="1" applyBorder="1" applyAlignment="1">
      <alignment vertical="center" wrapText="1" shrinkToFit="1"/>
    </xf>
    <xf numFmtId="0" fontId="62" fillId="0" borderId="303" xfId="0" applyNumberFormat="1" applyFont="1" applyBorder="1" applyAlignment="1">
      <alignment vertical="center" wrapText="1" shrinkToFit="1"/>
    </xf>
    <xf numFmtId="0" fontId="62" fillId="0" borderId="298" xfId="0" applyNumberFormat="1" applyFont="1" applyBorder="1" applyAlignment="1">
      <alignment vertical="center" wrapText="1" shrinkToFit="1"/>
    </xf>
    <xf numFmtId="0" fontId="7" fillId="0" borderId="298" xfId="0" applyNumberFormat="1" applyFont="1" applyBorder="1" applyAlignment="1">
      <alignment vertical="center" wrapText="1" shrinkToFit="1"/>
    </xf>
    <xf numFmtId="0" fontId="7" fillId="0" borderId="298" xfId="0" applyNumberFormat="1" applyFont="1" applyBorder="1" applyAlignment="1">
      <alignment vertical="center" shrinkToFit="1"/>
    </xf>
    <xf numFmtId="0" fontId="7" fillId="0" borderId="299" xfId="0" applyNumberFormat="1" applyFont="1" applyBorder="1" applyAlignment="1">
      <alignment vertical="center" shrinkToFit="1"/>
    </xf>
    <xf numFmtId="0" fontId="62" fillId="0" borderId="298" xfId="0" applyNumberFormat="1" applyFont="1" applyBorder="1" applyAlignment="1">
      <alignment horizontal="left" vertical="center" shrinkToFit="1"/>
    </xf>
    <xf numFmtId="0" fontId="62" fillId="0" borderId="101" xfId="0" applyNumberFormat="1" applyFont="1" applyBorder="1" applyAlignment="1">
      <alignment horizontal="left" vertical="center" wrapText="1"/>
    </xf>
    <xf numFmtId="0" fontId="62" fillId="0" borderId="297" xfId="0" applyNumberFormat="1" applyFont="1" applyBorder="1" applyAlignment="1">
      <alignment vertical="center" wrapText="1" shrinkToFit="1"/>
    </xf>
    <xf numFmtId="0" fontId="62" fillId="0" borderId="298" xfId="0" applyNumberFormat="1" applyFont="1" applyBorder="1" applyAlignment="1">
      <alignment vertical="center" shrinkToFit="1"/>
    </xf>
    <xf numFmtId="0" fontId="62" fillId="0" borderId="299" xfId="0" applyNumberFormat="1" applyFont="1" applyBorder="1" applyAlignment="1">
      <alignment vertical="center" shrinkToFit="1"/>
    </xf>
    <xf numFmtId="0" fontId="13" fillId="0" borderId="137" xfId="0" applyNumberFormat="1" applyFont="1" applyFill="1" applyBorder="1" applyAlignment="1" applyProtection="1">
      <alignment horizontal="center" vertical="center" shrinkToFit="1"/>
    </xf>
    <xf numFmtId="0" fontId="13" fillId="0" borderId="138" xfId="0" applyNumberFormat="1" applyFont="1" applyFill="1" applyBorder="1" applyAlignment="1" applyProtection="1">
      <alignment horizontal="center" vertical="center" shrinkToFit="1"/>
    </xf>
    <xf numFmtId="0" fontId="13" fillId="0" borderId="139" xfId="0" applyNumberFormat="1" applyFont="1" applyFill="1" applyBorder="1" applyAlignment="1" applyProtection="1">
      <alignment horizontal="center" vertical="center" shrinkToFit="1"/>
    </xf>
    <xf numFmtId="0" fontId="1" fillId="0" borderId="158" xfId="0" applyNumberFormat="1" applyFont="1" applyBorder="1" applyAlignment="1">
      <alignment horizontal="center" vertical="center" shrinkToFit="1"/>
    </xf>
    <xf numFmtId="0" fontId="1" fillId="0" borderId="208" xfId="0" applyNumberFormat="1" applyFont="1" applyBorder="1" applyAlignment="1">
      <alignment horizontal="center" vertical="center" shrinkToFit="1"/>
    </xf>
    <xf numFmtId="0" fontId="6" fillId="0" borderId="296" xfId="0" applyNumberFormat="1" applyFont="1" applyFill="1" applyBorder="1" applyAlignment="1" applyProtection="1">
      <alignment horizontal="center" vertical="center" wrapText="1"/>
    </xf>
    <xf numFmtId="0" fontId="62" fillId="0" borderId="300" xfId="0" applyNumberFormat="1" applyFont="1" applyFill="1" applyBorder="1" applyAlignment="1" applyProtection="1">
      <alignment horizontal="left" vertical="center" wrapText="1" shrinkToFit="1"/>
    </xf>
    <xf numFmtId="0" fontId="62" fillId="0" borderId="301" xfId="0" applyNumberFormat="1" applyFont="1" applyFill="1" applyBorder="1" applyAlignment="1" applyProtection="1">
      <alignment horizontal="left" vertical="center" wrapText="1" shrinkToFit="1"/>
    </xf>
    <xf numFmtId="0" fontId="62" fillId="0" borderId="402" xfId="0" applyNumberFormat="1" applyFont="1" applyFill="1" applyBorder="1" applyAlignment="1" applyProtection="1">
      <alignment horizontal="left" vertical="center" wrapText="1" shrinkToFit="1"/>
    </xf>
    <xf numFmtId="0" fontId="7" fillId="0" borderId="156" xfId="0" applyNumberFormat="1" applyFont="1" applyFill="1" applyBorder="1" applyAlignment="1">
      <alignment horizontal="center" vertical="center" shrinkToFit="1"/>
    </xf>
    <xf numFmtId="0" fontId="7" fillId="0" borderId="157" xfId="0" applyNumberFormat="1" applyFont="1" applyFill="1" applyBorder="1" applyAlignment="1">
      <alignment horizontal="center" vertical="center" shrinkToFit="1"/>
    </xf>
    <xf numFmtId="0" fontId="1" fillId="0" borderId="143" xfId="0" applyNumberFormat="1" applyFont="1" applyFill="1" applyBorder="1" applyAlignment="1">
      <alignment horizontal="center" vertical="center" wrapText="1"/>
    </xf>
    <xf numFmtId="0" fontId="1" fillId="0" borderId="110" xfId="0" applyNumberFormat="1" applyFont="1" applyFill="1" applyBorder="1" applyAlignment="1">
      <alignment horizontal="center" vertical="center" wrapText="1"/>
    </xf>
    <xf numFmtId="0" fontId="1" fillId="0" borderId="71" xfId="0" applyNumberFormat="1" applyFont="1" applyFill="1" applyBorder="1" applyAlignment="1">
      <alignment horizontal="center" vertical="center" wrapText="1"/>
    </xf>
    <xf numFmtId="0" fontId="20" fillId="0" borderId="111" xfId="0" applyNumberFormat="1" applyFont="1" applyBorder="1" applyAlignment="1">
      <alignment horizontal="center" vertical="center" wrapText="1"/>
    </xf>
    <xf numFmtId="0" fontId="20" fillId="0" borderId="112" xfId="0" applyNumberFormat="1" applyFont="1" applyBorder="1" applyAlignment="1">
      <alignment horizontal="center" vertical="center" wrapText="1"/>
    </xf>
    <xf numFmtId="0" fontId="1" fillId="0" borderId="410" xfId="0" applyNumberFormat="1" applyFont="1" applyBorder="1" applyAlignment="1">
      <alignment horizontal="center" vertical="center" wrapText="1"/>
    </xf>
    <xf numFmtId="0" fontId="3" fillId="0" borderId="409" xfId="0" applyNumberFormat="1" applyFont="1" applyBorder="1" applyAlignment="1">
      <alignment horizontal="center" vertical="center" wrapText="1"/>
    </xf>
    <xf numFmtId="0" fontId="3" fillId="0" borderId="411" xfId="0" applyNumberFormat="1" applyFont="1" applyBorder="1" applyAlignment="1">
      <alignment horizontal="center" vertical="center" wrapText="1"/>
    </xf>
    <xf numFmtId="0" fontId="23" fillId="0" borderId="293" xfId="0" applyNumberFormat="1" applyFont="1" applyFill="1" applyBorder="1" applyAlignment="1" applyProtection="1">
      <alignment horizontal="center" vertical="center" wrapText="1"/>
    </xf>
    <xf numFmtId="0" fontId="23" fillId="0" borderId="294" xfId="0" applyNumberFormat="1" applyFont="1" applyFill="1" applyBorder="1" applyAlignment="1" applyProtection="1">
      <alignment horizontal="center" vertical="center" wrapText="1"/>
    </xf>
    <xf numFmtId="0" fontId="23" fillId="0" borderId="295" xfId="0" applyNumberFormat="1" applyFont="1" applyFill="1" applyBorder="1" applyAlignment="1" applyProtection="1">
      <alignment horizontal="center" vertical="center" wrapText="1"/>
    </xf>
    <xf numFmtId="0" fontId="1" fillId="0" borderId="107" xfId="0" applyNumberFormat="1" applyFont="1" applyBorder="1" applyAlignment="1">
      <alignment horizontal="center" vertical="center" wrapText="1"/>
    </xf>
    <xf numFmtId="0" fontId="1" fillId="0" borderId="98" xfId="0" applyNumberFormat="1" applyFont="1" applyBorder="1" applyAlignment="1">
      <alignment horizontal="center" vertical="center" wrapText="1"/>
    </xf>
    <xf numFmtId="0" fontId="73" fillId="0" borderId="298" xfId="0" applyNumberFormat="1" applyFont="1" applyBorder="1" applyAlignment="1">
      <alignment vertical="center" wrapText="1" shrinkToFit="1"/>
    </xf>
    <xf numFmtId="0" fontId="73" fillId="0" borderId="298" xfId="0" applyNumberFormat="1" applyFont="1" applyBorder="1" applyAlignment="1">
      <alignment vertical="center" shrinkToFit="1"/>
    </xf>
    <xf numFmtId="0" fontId="73" fillId="0" borderId="298" xfId="0" applyNumberFormat="1" applyFont="1" applyBorder="1" applyAlignment="1">
      <alignment vertical="center" wrapText="1"/>
    </xf>
    <xf numFmtId="0" fontId="3" fillId="5" borderId="322" xfId="0" applyNumberFormat="1" applyFont="1" applyFill="1" applyBorder="1" applyAlignment="1" applyProtection="1">
      <alignment horizontal="center" vertical="center" wrapText="1"/>
    </xf>
    <xf numFmtId="0" fontId="3" fillId="5" borderId="323" xfId="0" applyNumberFormat="1" applyFont="1" applyFill="1" applyBorder="1" applyAlignment="1" applyProtection="1">
      <alignment horizontal="center" vertical="center" wrapText="1"/>
    </xf>
    <xf numFmtId="0" fontId="3" fillId="5" borderId="273" xfId="0" applyNumberFormat="1" applyFont="1" applyFill="1" applyBorder="1" applyAlignment="1" applyProtection="1">
      <alignment horizontal="center" vertical="center" wrapText="1"/>
    </xf>
    <xf numFmtId="0" fontId="33" fillId="5" borderId="316" xfId="0" applyNumberFormat="1" applyFont="1" applyFill="1" applyBorder="1" applyAlignment="1" applyProtection="1">
      <alignment horizontal="center" vertical="center" wrapText="1"/>
    </xf>
    <xf numFmtId="0" fontId="33" fillId="5" borderId="317" xfId="0" applyNumberFormat="1" applyFont="1" applyFill="1" applyBorder="1" applyAlignment="1" applyProtection="1">
      <alignment horizontal="center" vertical="center" wrapText="1"/>
    </xf>
    <xf numFmtId="0" fontId="33" fillId="5" borderId="318" xfId="0" applyNumberFormat="1" applyFont="1" applyFill="1" applyBorder="1" applyAlignment="1" applyProtection="1">
      <alignment horizontal="center" vertical="center" wrapText="1"/>
    </xf>
    <xf numFmtId="0" fontId="26" fillId="5" borderId="253" xfId="0" applyNumberFormat="1" applyFont="1" applyFill="1" applyBorder="1" applyAlignment="1" applyProtection="1">
      <alignment horizontal="center" vertical="center" wrapText="1"/>
    </xf>
    <xf numFmtId="0" fontId="26" fillId="5" borderId="201" xfId="0" applyNumberFormat="1" applyFont="1" applyFill="1" applyBorder="1" applyAlignment="1" applyProtection="1">
      <alignment horizontal="center" vertical="center" wrapText="1"/>
    </xf>
    <xf numFmtId="0" fontId="26" fillId="5" borderId="44" xfId="0" applyNumberFormat="1" applyFont="1" applyFill="1" applyBorder="1" applyAlignment="1" applyProtection="1">
      <alignment horizontal="center" vertical="center" wrapText="1"/>
    </xf>
    <xf numFmtId="0" fontId="3" fillId="4" borderId="265" xfId="0" applyNumberFormat="1" applyFont="1" applyFill="1" applyBorder="1" applyAlignment="1" applyProtection="1">
      <alignment horizontal="center" vertical="center" wrapText="1"/>
    </xf>
    <xf numFmtId="0" fontId="3" fillId="4" borderId="138" xfId="0" applyNumberFormat="1" applyFont="1" applyFill="1" applyBorder="1" applyAlignment="1" applyProtection="1">
      <alignment horizontal="center" vertical="center" wrapText="1"/>
    </xf>
    <xf numFmtId="0" fontId="3" fillId="4" borderId="139" xfId="0" applyNumberFormat="1" applyFont="1" applyFill="1" applyBorder="1" applyAlignment="1" applyProtection="1">
      <alignment horizontal="center" vertical="center" wrapText="1"/>
    </xf>
    <xf numFmtId="0" fontId="1" fillId="7" borderId="143" xfId="0" applyNumberFormat="1" applyFont="1" applyFill="1" applyBorder="1" applyAlignment="1" applyProtection="1">
      <alignment horizontal="center" vertical="center" wrapText="1"/>
    </xf>
    <xf numFmtId="0" fontId="1" fillId="7" borderId="110" xfId="0" applyNumberFormat="1" applyFont="1" applyFill="1" applyBorder="1" applyAlignment="1" applyProtection="1">
      <alignment horizontal="center" vertical="center" wrapText="1"/>
    </xf>
    <xf numFmtId="0" fontId="1" fillId="7" borderId="71" xfId="0" applyNumberFormat="1" applyFont="1" applyFill="1" applyBorder="1" applyAlignment="1" applyProtection="1">
      <alignment horizontal="center" vertical="center" wrapText="1"/>
    </xf>
    <xf numFmtId="0" fontId="1" fillId="7" borderId="158" xfId="0" applyNumberFormat="1" applyFont="1" applyFill="1" applyBorder="1" applyAlignment="1" applyProtection="1">
      <alignment horizontal="center" vertical="center" wrapText="1"/>
    </xf>
    <xf numFmtId="0" fontId="1" fillId="7" borderId="208" xfId="0" applyNumberFormat="1" applyFont="1" applyFill="1" applyBorder="1" applyAlignment="1" applyProtection="1">
      <alignment horizontal="center" vertical="center" wrapText="1"/>
    </xf>
    <xf numFmtId="0" fontId="59" fillId="15" borderId="174" xfId="0" applyNumberFormat="1" applyFont="1" applyFill="1" applyBorder="1" applyAlignment="1">
      <alignment horizontal="center" vertical="center" shrinkToFit="1"/>
    </xf>
    <xf numFmtId="0" fontId="58" fillId="15" borderId="419" xfId="0" applyNumberFormat="1" applyFont="1" applyFill="1" applyBorder="1" applyAlignment="1">
      <alignment horizontal="center" vertical="center" wrapText="1"/>
    </xf>
    <xf numFmtId="0" fontId="58" fillId="15" borderId="159" xfId="0" applyNumberFormat="1" applyFont="1" applyFill="1" applyBorder="1" applyAlignment="1">
      <alignment horizontal="center" vertical="center" wrapText="1"/>
    </xf>
    <xf numFmtId="0" fontId="58" fillId="15" borderId="208" xfId="0" applyNumberFormat="1" applyFont="1" applyFill="1" applyBorder="1" applyAlignment="1">
      <alignment horizontal="center" vertical="center" wrapText="1"/>
    </xf>
    <xf numFmtId="0" fontId="3" fillId="4" borderId="238" xfId="0" applyNumberFormat="1" applyFont="1" applyFill="1" applyBorder="1" applyAlignment="1" applyProtection="1">
      <alignment horizontal="center" vertical="center" wrapText="1"/>
    </xf>
    <xf numFmtId="0" fontId="3" fillId="4" borderId="135" xfId="0" applyNumberFormat="1" applyFont="1" applyFill="1" applyBorder="1" applyAlignment="1" applyProtection="1">
      <alignment horizontal="center" vertical="center" wrapText="1"/>
    </xf>
    <xf numFmtId="0" fontId="3" fillId="4" borderId="136" xfId="0" applyNumberFormat="1" applyFont="1" applyFill="1" applyBorder="1" applyAlignment="1" applyProtection="1">
      <alignment horizontal="center" vertical="center" wrapText="1"/>
    </xf>
    <xf numFmtId="0" fontId="82" fillId="0" borderId="306" xfId="0" applyNumberFormat="1" applyFont="1" applyBorder="1" applyAlignment="1">
      <alignment vertical="center" wrapText="1" shrinkToFit="1"/>
    </xf>
    <xf numFmtId="0" fontId="62" fillId="0" borderId="306" xfId="0" applyNumberFormat="1" applyFont="1" applyBorder="1" applyAlignment="1">
      <alignment vertical="center" shrinkToFit="1"/>
    </xf>
    <xf numFmtId="0" fontId="62" fillId="0" borderId="299" xfId="0" applyNumberFormat="1" applyFont="1" applyBorder="1" applyAlignment="1">
      <alignment vertical="center" wrapText="1" shrinkToFit="1"/>
    </xf>
    <xf numFmtId="0" fontId="63" fillId="0" borderId="302" xfId="0" applyNumberFormat="1" applyFont="1" applyBorder="1" applyAlignment="1">
      <alignment vertical="center" wrapText="1" shrinkToFit="1"/>
    </xf>
    <xf numFmtId="0" fontId="13" fillId="3" borderId="134" xfId="0" applyNumberFormat="1" applyFont="1" applyFill="1" applyBorder="1" applyAlignment="1" applyProtection="1">
      <alignment horizontal="center" vertical="center" wrapText="1"/>
    </xf>
    <xf numFmtId="0" fontId="13" fillId="3" borderId="135" xfId="0" applyNumberFormat="1" applyFont="1" applyFill="1" applyBorder="1" applyAlignment="1" applyProtection="1">
      <alignment horizontal="center" vertical="center" wrapText="1"/>
    </xf>
    <xf numFmtId="0" fontId="13" fillId="3" borderId="136" xfId="0" applyNumberFormat="1" applyFont="1" applyFill="1" applyBorder="1" applyAlignment="1" applyProtection="1">
      <alignment horizontal="center" vertical="center" wrapText="1"/>
    </xf>
    <xf numFmtId="0" fontId="1" fillId="5" borderId="140" xfId="0" applyNumberFormat="1" applyFont="1" applyFill="1" applyBorder="1" applyAlignment="1">
      <alignment horizontal="center" vertical="center" wrapText="1"/>
    </xf>
    <xf numFmtId="0" fontId="1" fillId="5" borderId="141" xfId="0" quotePrefix="1" applyNumberFormat="1" applyFont="1" applyFill="1" applyBorder="1" applyAlignment="1">
      <alignment horizontal="center" vertical="center" wrapText="1"/>
    </xf>
    <xf numFmtId="0" fontId="1" fillId="5" borderId="141" xfId="0" applyNumberFormat="1" applyFont="1" applyFill="1" applyBorder="1" applyAlignment="1">
      <alignment horizontal="center" vertical="center" wrapText="1"/>
    </xf>
    <xf numFmtId="0" fontId="1" fillId="5" borderId="142" xfId="0" applyNumberFormat="1" applyFont="1" applyFill="1" applyBorder="1" applyAlignment="1">
      <alignment horizontal="center" vertical="center" wrapText="1"/>
    </xf>
    <xf numFmtId="0" fontId="20" fillId="0" borderId="137" xfId="0" applyNumberFormat="1" applyFont="1" applyFill="1" applyBorder="1" applyAlignment="1" applyProtection="1">
      <alignment horizontal="center" vertical="center" wrapText="1"/>
    </xf>
    <xf numFmtId="0" fontId="20" fillId="0" borderId="138" xfId="0" applyNumberFormat="1" applyFont="1" applyFill="1" applyBorder="1" applyAlignment="1" applyProtection="1">
      <alignment horizontal="center" vertical="center" wrapText="1"/>
    </xf>
    <xf numFmtId="0" fontId="20" fillId="0" borderId="139" xfId="0" applyNumberFormat="1" applyFont="1" applyFill="1" applyBorder="1" applyAlignment="1" applyProtection="1">
      <alignment horizontal="center" vertical="center" wrapText="1"/>
    </xf>
    <xf numFmtId="0" fontId="7" fillId="0" borderId="137" xfId="0" applyNumberFormat="1" applyFont="1" applyFill="1" applyBorder="1" applyAlignment="1">
      <alignment horizontal="center" vertical="center" wrapText="1"/>
    </xf>
    <xf numFmtId="0" fontId="13" fillId="3" borderId="182" xfId="0" applyNumberFormat="1" applyFont="1" applyFill="1" applyBorder="1" applyAlignment="1" applyProtection="1">
      <alignment horizontal="center" vertical="center" wrapText="1"/>
    </xf>
    <xf numFmtId="0" fontId="13" fillId="3" borderId="243" xfId="0" applyNumberFormat="1" applyFont="1" applyFill="1" applyBorder="1" applyAlignment="1" applyProtection="1">
      <alignment horizontal="center" vertical="center" wrapText="1"/>
    </xf>
    <xf numFmtId="0" fontId="13" fillId="3" borderId="244" xfId="0" applyNumberFormat="1" applyFont="1" applyFill="1" applyBorder="1" applyAlignment="1" applyProtection="1">
      <alignment horizontal="center" vertical="center" wrapText="1"/>
    </xf>
    <xf numFmtId="0" fontId="7" fillId="3" borderId="137" xfId="0" applyNumberFormat="1" applyFont="1" applyFill="1" applyBorder="1" applyAlignment="1" applyProtection="1">
      <alignment horizontal="center" vertical="center" wrapText="1"/>
    </xf>
    <xf numFmtId="0" fontId="7" fillId="3" borderId="138" xfId="0" applyNumberFormat="1" applyFont="1" applyFill="1" applyBorder="1" applyAlignment="1" applyProtection="1">
      <alignment horizontal="center" vertical="center" wrapText="1"/>
    </xf>
    <xf numFmtId="0" fontId="7" fillId="3" borderId="139" xfId="0" applyNumberFormat="1" applyFont="1" applyFill="1" applyBorder="1" applyAlignment="1" applyProtection="1">
      <alignment horizontal="center" vertical="center" wrapText="1"/>
    </xf>
    <xf numFmtId="0" fontId="13" fillId="0" borderId="311" xfId="0" applyNumberFormat="1" applyFont="1" applyFill="1" applyBorder="1" applyAlignment="1" applyProtection="1">
      <alignment horizontal="center" vertical="center" wrapText="1"/>
    </xf>
    <xf numFmtId="0" fontId="13" fillId="0" borderId="312" xfId="0" applyNumberFormat="1" applyFont="1" applyFill="1" applyBorder="1" applyAlignment="1" applyProtection="1">
      <alignment horizontal="center" vertical="center" wrapText="1"/>
    </xf>
    <xf numFmtId="0" fontId="13" fillId="0" borderId="313" xfId="0" applyNumberFormat="1" applyFont="1" applyFill="1" applyBorder="1" applyAlignment="1" applyProtection="1">
      <alignment horizontal="center" vertical="center" wrapText="1"/>
    </xf>
    <xf numFmtId="0" fontId="1" fillId="3" borderId="71" xfId="0" applyNumberFormat="1" applyFont="1" applyFill="1" applyBorder="1" applyAlignment="1">
      <alignment horizontal="center" vertical="center" wrapText="1"/>
    </xf>
    <xf numFmtId="0" fontId="6" fillId="0" borderId="309" xfId="0" applyNumberFormat="1" applyFont="1" applyFill="1" applyBorder="1" applyAlignment="1" applyProtection="1">
      <alignment horizontal="center" vertical="center" wrapText="1"/>
    </xf>
    <xf numFmtId="0" fontId="6" fillId="0" borderId="74" xfId="0" applyNumberFormat="1" applyFont="1" applyFill="1" applyBorder="1" applyAlignment="1" applyProtection="1">
      <alignment horizontal="center" vertical="center" wrapText="1"/>
    </xf>
    <xf numFmtId="0" fontId="6" fillId="0" borderId="75" xfId="0" applyNumberFormat="1" applyFont="1" applyFill="1" applyBorder="1" applyAlignment="1" applyProtection="1">
      <alignment horizontal="center" vertical="center" wrapText="1"/>
    </xf>
    <xf numFmtId="0" fontId="63" fillId="0" borderId="302" xfId="0" applyNumberFormat="1" applyFont="1" applyBorder="1" applyAlignment="1">
      <alignment horizontal="left" vertical="center" wrapText="1"/>
    </xf>
    <xf numFmtId="0" fontId="63" fillId="0" borderId="101" xfId="0" applyNumberFormat="1" applyFont="1" applyBorder="1" applyAlignment="1">
      <alignment horizontal="left" vertical="center" wrapText="1"/>
    </xf>
    <xf numFmtId="0" fontId="63" fillId="0" borderId="303" xfId="0" applyNumberFormat="1" applyFont="1" applyBorder="1" applyAlignment="1">
      <alignment vertical="center" wrapText="1" shrinkToFit="1"/>
    </xf>
    <xf numFmtId="0" fontId="63" fillId="0" borderId="101" xfId="0" applyNumberFormat="1" applyFont="1" applyBorder="1" applyAlignment="1">
      <alignment vertical="center" wrapText="1"/>
    </xf>
    <xf numFmtId="0" fontId="62" fillId="0" borderId="299" xfId="0" applyNumberFormat="1" applyFont="1" applyBorder="1" applyAlignment="1">
      <alignment vertical="center" wrapText="1"/>
    </xf>
    <xf numFmtId="0" fontId="63" fillId="0" borderId="298" xfId="0" applyNumberFormat="1" applyFont="1" applyBorder="1" applyAlignment="1">
      <alignment vertical="center" shrinkToFit="1"/>
    </xf>
    <xf numFmtId="0" fontId="63" fillId="0" borderId="304" xfId="0" applyNumberFormat="1" applyFont="1" applyBorder="1" applyAlignment="1">
      <alignment vertical="center" shrinkToFit="1"/>
    </xf>
    <xf numFmtId="0" fontId="63" fillId="0" borderId="101" xfId="0" applyNumberFormat="1" applyFont="1" applyBorder="1" applyAlignment="1">
      <alignment vertical="center" wrapText="1" shrinkToFit="1"/>
    </xf>
    <xf numFmtId="0" fontId="63" fillId="0" borderId="298" xfId="0" applyNumberFormat="1" applyFont="1" applyBorder="1" applyAlignment="1">
      <alignment vertical="center" wrapText="1"/>
    </xf>
    <xf numFmtId="0" fontId="62" fillId="0" borderId="305" xfId="0" applyNumberFormat="1" applyFont="1" applyBorder="1" applyAlignment="1">
      <alignment vertical="center" wrapText="1" shrinkToFit="1"/>
    </xf>
    <xf numFmtId="0" fontId="62" fillId="0" borderId="306" xfId="0" applyNumberFormat="1" applyFont="1" applyBorder="1" applyAlignment="1">
      <alignment vertical="center" wrapText="1" shrinkToFit="1"/>
    </xf>
    <xf numFmtId="0" fontId="62" fillId="0" borderId="307" xfId="0" applyNumberFormat="1" applyFont="1" applyBorder="1" applyAlignment="1">
      <alignment vertical="center" shrinkToFit="1"/>
    </xf>
    <xf numFmtId="0" fontId="1" fillId="11" borderId="277" xfId="0" applyNumberFormat="1" applyFont="1" applyFill="1" applyBorder="1" applyAlignment="1">
      <alignment horizontal="center" vertical="center" wrapText="1"/>
    </xf>
    <xf numFmtId="0" fontId="1" fillId="11" borderId="278" xfId="0" applyNumberFormat="1" applyFont="1" applyFill="1" applyBorder="1" applyAlignment="1">
      <alignment horizontal="center" vertical="center" wrapText="1"/>
    </xf>
    <xf numFmtId="0" fontId="1" fillId="11" borderId="412" xfId="0" applyNumberFormat="1" applyFont="1" applyFill="1" applyBorder="1" applyAlignment="1">
      <alignment horizontal="center" vertical="center" wrapText="1"/>
    </xf>
    <xf numFmtId="0" fontId="1" fillId="11" borderId="6" xfId="0" applyNumberFormat="1" applyFont="1" applyFill="1" applyBorder="1" applyAlignment="1">
      <alignment horizontal="center" vertical="center" wrapText="1"/>
    </xf>
    <xf numFmtId="0" fontId="1" fillId="11" borderId="7" xfId="0" applyNumberFormat="1" applyFont="1" applyFill="1" applyBorder="1" applyAlignment="1">
      <alignment horizontal="center" vertical="center" wrapText="1"/>
    </xf>
    <xf numFmtId="0" fontId="1" fillId="11" borderId="4" xfId="0" applyNumberFormat="1" applyFont="1" applyFill="1" applyBorder="1" applyAlignment="1">
      <alignment horizontal="center" vertical="center" wrapText="1"/>
    </xf>
    <xf numFmtId="0" fontId="1" fillId="11" borderId="279" xfId="0" applyNumberFormat="1" applyFont="1" applyFill="1" applyBorder="1" applyAlignment="1">
      <alignment horizontal="center" vertical="center" wrapText="1"/>
    </xf>
    <xf numFmtId="0" fontId="1" fillId="11" borderId="127" xfId="0" applyNumberFormat="1" applyFont="1" applyFill="1" applyBorder="1" applyAlignment="1">
      <alignment horizontal="center" vertical="center" wrapText="1"/>
    </xf>
    <xf numFmtId="0" fontId="1" fillId="11" borderId="235" xfId="0" applyNumberFormat="1" applyFont="1" applyFill="1" applyBorder="1" applyAlignment="1">
      <alignment horizontal="center" vertical="center" wrapText="1"/>
    </xf>
    <xf numFmtId="0" fontId="70" fillId="0" borderId="333" xfId="0" applyNumberFormat="1" applyFont="1" applyFill="1" applyBorder="1" applyAlignment="1">
      <alignment horizontal="center" vertical="center" wrapText="1"/>
    </xf>
    <xf numFmtId="0" fontId="70" fillId="0" borderId="320" xfId="0" applyNumberFormat="1" applyFont="1" applyFill="1" applyBorder="1" applyAlignment="1">
      <alignment horizontal="center" vertical="center" wrapText="1"/>
    </xf>
    <xf numFmtId="0" fontId="70" fillId="0" borderId="213" xfId="0" applyNumberFormat="1" applyFont="1" applyFill="1" applyBorder="1" applyAlignment="1">
      <alignment horizontal="center" vertical="center" wrapText="1"/>
    </xf>
    <xf numFmtId="0" fontId="1" fillId="0" borderId="181" xfId="0" applyNumberFormat="1" applyFont="1" applyFill="1" applyBorder="1" applyAlignment="1">
      <alignment horizontal="center" vertical="center" wrapText="1"/>
    </xf>
    <xf numFmtId="0" fontId="1" fillId="0" borderId="437" xfId="0" applyNumberFormat="1" applyFont="1" applyFill="1" applyBorder="1" applyAlignment="1">
      <alignment horizontal="center" vertical="center" wrapText="1"/>
    </xf>
    <xf numFmtId="0" fontId="7" fillId="0" borderId="156" xfId="0" applyNumberFormat="1" applyFont="1" applyFill="1" applyBorder="1" applyAlignment="1">
      <alignment horizontal="center" vertical="center" wrapText="1"/>
    </xf>
    <xf numFmtId="0" fontId="7" fillId="0" borderId="157" xfId="0" applyNumberFormat="1" applyFont="1" applyFill="1" applyBorder="1" applyAlignment="1">
      <alignment horizontal="center" vertical="center" wrapText="1"/>
    </xf>
    <xf numFmtId="0" fontId="13" fillId="7" borderId="332" xfId="0" applyNumberFormat="1" applyFont="1" applyFill="1" applyBorder="1" applyAlignment="1" applyProtection="1">
      <alignment horizontal="center" vertical="center" shrinkToFit="1"/>
    </xf>
    <xf numFmtId="0" fontId="13" fillId="7" borderId="262" xfId="0" applyNumberFormat="1" applyFont="1" applyFill="1" applyBorder="1" applyAlignment="1" applyProtection="1">
      <alignment horizontal="center" vertical="center" shrinkToFit="1"/>
    </xf>
    <xf numFmtId="0" fontId="13" fillId="7" borderId="263" xfId="0" applyNumberFormat="1" applyFont="1" applyFill="1" applyBorder="1" applyAlignment="1" applyProtection="1">
      <alignment horizontal="center" vertical="center" shrinkToFit="1"/>
    </xf>
    <xf numFmtId="176" fontId="17" fillId="10" borderId="127" xfId="0" applyNumberFormat="1" applyFont="1" applyFill="1" applyBorder="1" applyAlignment="1">
      <alignment horizontal="center" vertical="center" wrapText="1"/>
    </xf>
    <xf numFmtId="176" fontId="17" fillId="10" borderId="128" xfId="0" applyNumberFormat="1" applyFont="1" applyFill="1" applyBorder="1" applyAlignment="1">
      <alignment horizontal="center" vertical="center" wrapText="1"/>
    </xf>
    <xf numFmtId="0" fontId="1" fillId="0" borderId="438" xfId="0" applyNumberFormat="1" applyFont="1" applyFill="1" applyBorder="1" applyAlignment="1" applyProtection="1">
      <alignment horizontal="center" vertical="center" wrapText="1"/>
    </xf>
    <xf numFmtId="0" fontId="1" fillId="0" borderId="275" xfId="0" applyNumberFormat="1" applyFont="1" applyFill="1" applyBorder="1" applyAlignment="1" applyProtection="1">
      <alignment horizontal="center" vertical="center" wrapText="1"/>
    </xf>
    <xf numFmtId="0" fontId="1" fillId="7" borderId="276" xfId="0" applyNumberFormat="1" applyFont="1" applyFill="1" applyBorder="1" applyAlignment="1">
      <alignment horizontal="center" vertical="center" wrapText="1"/>
    </xf>
    <xf numFmtId="0" fontId="1" fillId="7" borderId="177" xfId="0" applyNumberFormat="1" applyFont="1" applyFill="1" applyBorder="1" applyAlignment="1">
      <alignment horizontal="center" vertical="center" wrapText="1"/>
    </xf>
    <xf numFmtId="0" fontId="1" fillId="7" borderId="178" xfId="0" applyNumberFormat="1" applyFont="1" applyFill="1" applyBorder="1" applyAlignment="1">
      <alignment horizontal="center" vertical="center" wrapText="1"/>
    </xf>
    <xf numFmtId="0" fontId="1" fillId="0" borderId="436" xfId="0" applyNumberFormat="1" applyFont="1" applyFill="1" applyBorder="1" applyAlignment="1">
      <alignment horizontal="center" vertical="center" wrapText="1"/>
    </xf>
    <xf numFmtId="0" fontId="1" fillId="0" borderId="177" xfId="0" applyNumberFormat="1" applyFont="1" applyFill="1" applyBorder="1" applyAlignment="1">
      <alignment horizontal="center" vertical="center" wrapText="1"/>
    </xf>
    <xf numFmtId="0" fontId="1" fillId="0" borderId="178" xfId="0" applyNumberFormat="1" applyFont="1" applyFill="1" applyBorder="1" applyAlignment="1">
      <alignment horizontal="center" vertical="center" wrapText="1"/>
    </xf>
    <xf numFmtId="0" fontId="3" fillId="0" borderId="439" xfId="0" applyNumberFormat="1" applyFont="1" applyFill="1" applyBorder="1" applyAlignment="1">
      <alignment horizontal="center" vertical="center" shrinkToFit="1"/>
    </xf>
    <xf numFmtId="0" fontId="3" fillId="0" borderId="426" xfId="0" applyNumberFormat="1" applyFont="1" applyFill="1" applyBorder="1" applyAlignment="1">
      <alignment horizontal="center" vertical="center" shrinkToFit="1"/>
    </xf>
    <xf numFmtId="0" fontId="3" fillId="0" borderId="427" xfId="0" applyNumberFormat="1" applyFont="1" applyFill="1" applyBorder="1" applyAlignment="1">
      <alignment horizontal="center" vertical="center" shrinkToFit="1"/>
    </xf>
    <xf numFmtId="0" fontId="5" fillId="0" borderId="131" xfId="0" applyNumberFormat="1" applyFont="1" applyFill="1" applyBorder="1" applyAlignment="1">
      <alignment horizontal="center" vertical="center" wrapText="1"/>
    </xf>
    <xf numFmtId="0" fontId="3" fillId="0" borderId="131" xfId="0" applyNumberFormat="1" applyFont="1" applyFill="1" applyBorder="1" applyAlignment="1">
      <alignment horizontal="center" vertical="center" wrapText="1"/>
    </xf>
    <xf numFmtId="0" fontId="3" fillId="0" borderId="132" xfId="0" applyNumberFormat="1" applyFont="1" applyFill="1" applyBorder="1" applyAlignment="1">
      <alignment horizontal="center" vertical="center" wrapText="1"/>
    </xf>
    <xf numFmtId="0" fontId="3" fillId="0" borderId="231" xfId="0" applyNumberFormat="1" applyFont="1" applyFill="1" applyBorder="1" applyAlignment="1">
      <alignment horizontal="center" vertical="center" shrinkToFit="1"/>
    </xf>
    <xf numFmtId="0" fontId="1" fillId="11" borderId="280" xfId="0" applyNumberFormat="1" applyFont="1" applyFill="1" applyBorder="1" applyAlignment="1">
      <alignment horizontal="center" vertical="center" wrapText="1"/>
    </xf>
    <xf numFmtId="0" fontId="1" fillId="11" borderId="281" xfId="0" applyNumberFormat="1" applyFont="1" applyFill="1" applyBorder="1" applyAlignment="1">
      <alignment horizontal="center" vertical="center" wrapText="1"/>
    </xf>
    <xf numFmtId="0" fontId="1" fillId="11" borderId="285" xfId="0" applyNumberFormat="1" applyFont="1" applyFill="1" applyBorder="1" applyAlignment="1">
      <alignment horizontal="center" vertical="center" wrapText="1"/>
    </xf>
    <xf numFmtId="0" fontId="1" fillId="11" borderId="251" xfId="0" applyNumberFormat="1" applyFont="1" applyFill="1" applyBorder="1" applyAlignment="1">
      <alignment horizontal="center" vertical="center" wrapText="1"/>
    </xf>
    <xf numFmtId="0" fontId="1" fillId="11" borderId="84" xfId="0" applyNumberFormat="1" applyFont="1" applyFill="1" applyBorder="1" applyAlignment="1">
      <alignment horizontal="center" vertical="center" wrapText="1"/>
    </xf>
    <xf numFmtId="0" fontId="1" fillId="11" borderId="284" xfId="0" applyNumberFormat="1" applyFont="1" applyFill="1" applyBorder="1" applyAlignment="1">
      <alignment horizontal="center" vertical="center" wrapText="1"/>
    </xf>
    <xf numFmtId="0" fontId="1" fillId="11" borderId="239" xfId="0" applyNumberFormat="1" applyFont="1" applyFill="1" applyBorder="1" applyAlignment="1">
      <alignment horizontal="center" vertical="center" wrapText="1"/>
    </xf>
    <xf numFmtId="0" fontId="1" fillId="11" borderId="86" xfId="0" applyNumberFormat="1" applyFont="1" applyFill="1" applyBorder="1" applyAlignment="1">
      <alignment horizontal="center" vertical="center" wrapText="1"/>
    </xf>
    <xf numFmtId="0" fontId="1" fillId="11" borderId="283" xfId="0" applyNumberFormat="1" applyFont="1" applyFill="1" applyBorder="1" applyAlignment="1">
      <alignment horizontal="center" vertical="center" wrapText="1"/>
    </xf>
    <xf numFmtId="0" fontId="0" fillId="11" borderId="27" xfId="0" applyNumberFormat="1" applyFill="1" applyBorder="1" applyAlignment="1">
      <alignment vertical="center"/>
    </xf>
    <xf numFmtId="0" fontId="0" fillId="11" borderId="70" xfId="0" applyNumberFormat="1" applyFill="1" applyBorder="1" applyAlignment="1">
      <alignment vertical="center"/>
    </xf>
    <xf numFmtId="0" fontId="1" fillId="11" borderId="55" xfId="0" applyNumberFormat="1" applyFont="1" applyFill="1" applyBorder="1" applyAlignment="1">
      <alignment horizontal="center" vertical="center" wrapText="1" shrinkToFit="1"/>
    </xf>
    <xf numFmtId="0" fontId="1" fillId="11" borderId="370" xfId="0" applyNumberFormat="1" applyFont="1" applyFill="1" applyBorder="1" applyAlignment="1">
      <alignment horizontal="center" vertical="center" wrapText="1" shrinkToFit="1"/>
    </xf>
    <xf numFmtId="0" fontId="82" fillId="0" borderId="101" xfId="0" applyNumberFormat="1" applyFont="1" applyFill="1" applyBorder="1" applyAlignment="1" applyProtection="1">
      <alignment horizontal="left" vertical="center" wrapText="1" shrinkToFit="1"/>
    </xf>
    <xf numFmtId="0" fontId="82" fillId="0" borderId="301" xfId="0" applyNumberFormat="1" applyFont="1" applyFill="1" applyBorder="1" applyAlignment="1" applyProtection="1">
      <alignment horizontal="left" vertical="center" wrapText="1" shrinkToFit="1"/>
    </xf>
    <xf numFmtId="0" fontId="3" fillId="3" borderId="222" xfId="0" applyNumberFormat="1" applyFont="1" applyFill="1" applyBorder="1" applyAlignment="1">
      <alignment horizontal="center" vertical="center" wrapText="1"/>
    </xf>
    <xf numFmtId="0" fontId="27" fillId="3" borderId="222" xfId="0" applyNumberFormat="1" applyFont="1" applyFill="1" applyBorder="1" applyAlignment="1">
      <alignment vertical="center"/>
    </xf>
    <xf numFmtId="0" fontId="27" fillId="3" borderId="223" xfId="0" applyNumberFormat="1" applyFont="1" applyFill="1" applyBorder="1" applyAlignment="1">
      <alignment vertical="center"/>
    </xf>
    <xf numFmtId="0" fontId="3" fillId="0" borderId="137" xfId="0" applyNumberFormat="1" applyFont="1" applyFill="1" applyBorder="1" applyAlignment="1">
      <alignment horizontal="center" vertical="center" wrapText="1"/>
    </xf>
    <xf numFmtId="0" fontId="3" fillId="3" borderId="111" xfId="0" applyNumberFormat="1" applyFont="1" applyFill="1" applyBorder="1" applyAlignment="1">
      <alignment horizontal="center" vertical="center" wrapText="1"/>
    </xf>
    <xf numFmtId="0" fontId="3" fillId="3" borderId="112" xfId="0" applyNumberFormat="1" applyFont="1" applyFill="1" applyBorder="1" applyAlignment="1">
      <alignment horizontal="center" vertical="center" wrapText="1"/>
    </xf>
    <xf numFmtId="0" fontId="17" fillId="10" borderId="406" xfId="0" applyNumberFormat="1" applyFont="1" applyFill="1" applyBorder="1" applyAlignment="1">
      <alignment horizontal="center" vertical="center" wrapText="1"/>
    </xf>
    <xf numFmtId="0" fontId="17" fillId="10" borderId="368" xfId="0" applyNumberFormat="1" applyFont="1" applyFill="1" applyBorder="1" applyAlignment="1">
      <alignment horizontal="center" vertical="center" wrapText="1"/>
    </xf>
    <xf numFmtId="0" fontId="17" fillId="10" borderId="407" xfId="0" applyNumberFormat="1" applyFont="1" applyFill="1" applyBorder="1" applyAlignment="1">
      <alignment horizontal="center" vertical="center" wrapText="1"/>
    </xf>
    <xf numFmtId="0" fontId="17" fillId="10" borderId="4" xfId="0" applyNumberFormat="1" applyFont="1" applyFill="1" applyBorder="1" applyAlignment="1">
      <alignment horizontal="center" vertical="center" wrapText="1"/>
    </xf>
    <xf numFmtId="0" fontId="17" fillId="10" borderId="203" xfId="0" applyNumberFormat="1" applyFont="1" applyFill="1" applyBorder="1" applyAlignment="1">
      <alignment horizontal="center" vertical="center" wrapText="1"/>
    </xf>
    <xf numFmtId="0" fontId="17" fillId="10" borderId="151" xfId="0" applyNumberFormat="1" applyFont="1" applyFill="1" applyBorder="1" applyAlignment="1">
      <alignment horizontal="center" vertical="center" wrapText="1"/>
    </xf>
    <xf numFmtId="0" fontId="17" fillId="10" borderId="149" xfId="0" applyNumberFormat="1" applyFont="1" applyFill="1" applyBorder="1" applyAlignment="1">
      <alignment horizontal="center" vertical="center" wrapText="1"/>
    </xf>
    <xf numFmtId="0" fontId="17" fillId="10" borderId="204" xfId="0" applyNumberFormat="1" applyFont="1" applyFill="1" applyBorder="1" applyAlignment="1">
      <alignment horizontal="center" vertical="center" wrapText="1"/>
    </xf>
    <xf numFmtId="0" fontId="17" fillId="10" borderId="218" xfId="0" applyNumberFormat="1" applyFont="1" applyFill="1" applyBorder="1" applyAlignment="1">
      <alignment horizontal="center" vertical="center" wrapText="1"/>
    </xf>
    <xf numFmtId="0" fontId="17" fillId="10" borderId="264" xfId="0" applyNumberFormat="1" applyFont="1" applyFill="1" applyBorder="1" applyAlignment="1">
      <alignment horizontal="center" vertical="center" wrapText="1"/>
    </xf>
    <xf numFmtId="0" fontId="17" fillId="10" borderId="128" xfId="0" applyNumberFormat="1" applyFont="1" applyFill="1" applyBorder="1" applyAlignment="1">
      <alignment horizontal="center" vertical="center" wrapText="1"/>
    </xf>
    <xf numFmtId="0" fontId="17" fillId="10" borderId="235" xfId="0" applyNumberFormat="1" applyFont="1" applyFill="1" applyBorder="1" applyAlignment="1">
      <alignment horizontal="center" vertical="center" wrapText="1"/>
    </xf>
    <xf numFmtId="0" fontId="17" fillId="10" borderId="6" xfId="0" applyNumberFormat="1" applyFont="1" applyFill="1" applyBorder="1" applyAlignment="1">
      <alignment horizontal="center" vertical="center" wrapText="1"/>
    </xf>
    <xf numFmtId="0" fontId="17" fillId="10" borderId="279" xfId="0" applyNumberFormat="1" applyFont="1" applyFill="1" applyBorder="1" applyAlignment="1">
      <alignment horizontal="center" vertical="center" wrapText="1"/>
    </xf>
    <xf numFmtId="0" fontId="13" fillId="3" borderId="111" xfId="0" applyNumberFormat="1" applyFont="1" applyFill="1" applyBorder="1" applyAlignment="1">
      <alignment horizontal="center" vertical="center" shrinkToFit="1"/>
    </xf>
    <xf numFmtId="0" fontId="13" fillId="3" borderId="112" xfId="0" applyNumberFormat="1" applyFont="1" applyFill="1" applyBorder="1" applyAlignment="1">
      <alignment horizontal="center" vertical="center" shrinkToFit="1"/>
    </xf>
    <xf numFmtId="0" fontId="3" fillId="0" borderId="111" xfId="0" applyNumberFormat="1" applyFont="1" applyFill="1" applyBorder="1" applyAlignment="1">
      <alignment horizontal="center" vertical="center" shrinkToFit="1"/>
    </xf>
    <xf numFmtId="0" fontId="3" fillId="0" borderId="112" xfId="0" applyNumberFormat="1" applyFont="1" applyFill="1" applyBorder="1" applyAlignment="1">
      <alignment horizontal="center" vertical="center" shrinkToFit="1"/>
    </xf>
    <xf numFmtId="0" fontId="70" fillId="0" borderId="312" xfId="0" applyNumberFormat="1" applyFont="1" applyBorder="1" applyAlignment="1">
      <alignment horizontal="center" vertical="center" shrinkToFit="1"/>
    </xf>
    <xf numFmtId="0" fontId="70" fillId="0" borderId="313" xfId="0" applyNumberFormat="1" applyFont="1" applyBorder="1" applyAlignment="1">
      <alignment horizontal="center" vertical="center" shrinkToFit="1"/>
    </xf>
    <xf numFmtId="0" fontId="70" fillId="0" borderId="173" xfId="0" applyNumberFormat="1" applyFont="1" applyBorder="1" applyAlignment="1">
      <alignment horizontal="center" vertical="center" shrinkToFit="1"/>
    </xf>
    <xf numFmtId="0" fontId="70" fillId="0" borderId="174" xfId="0" applyNumberFormat="1" applyFont="1" applyBorder="1" applyAlignment="1">
      <alignment horizontal="center" vertical="center" shrinkToFit="1"/>
    </xf>
    <xf numFmtId="0" fontId="3" fillId="0" borderId="222" xfId="0" applyNumberFormat="1" applyFont="1" applyFill="1" applyBorder="1" applyAlignment="1">
      <alignment horizontal="center" vertical="center" wrapText="1"/>
    </xf>
    <xf numFmtId="0" fontId="3" fillId="0" borderId="134" xfId="0" applyNumberFormat="1" applyFont="1" applyFill="1" applyBorder="1" applyAlignment="1">
      <alignment horizontal="center" vertical="center" wrapText="1"/>
    </xf>
    <xf numFmtId="0" fontId="69" fillId="0" borderId="173" xfId="0" applyNumberFormat="1" applyFont="1" applyBorder="1" applyAlignment="1">
      <alignment horizontal="center" vertical="center" shrinkToFit="1"/>
    </xf>
    <xf numFmtId="0" fontId="69" fillId="0" borderId="174" xfId="0" applyNumberFormat="1" applyFont="1" applyBorder="1" applyAlignment="1">
      <alignment horizontal="center" vertical="center" shrinkToFit="1"/>
    </xf>
    <xf numFmtId="0" fontId="3" fillId="3" borderId="222" xfId="0" applyNumberFormat="1" applyFont="1" applyFill="1" applyBorder="1" applyAlignment="1">
      <alignment horizontal="center" vertical="center" shrinkToFit="1"/>
    </xf>
    <xf numFmtId="0" fontId="3" fillId="3" borderId="223" xfId="0" applyNumberFormat="1" applyFont="1" applyFill="1" applyBorder="1" applyAlignment="1">
      <alignment horizontal="center" vertical="center" shrinkToFit="1"/>
    </xf>
    <xf numFmtId="0" fontId="25" fillId="0" borderId="111" xfId="0" applyNumberFormat="1" applyFont="1" applyFill="1" applyBorder="1" applyAlignment="1">
      <alignment horizontal="center" vertical="center" wrapText="1"/>
    </xf>
    <xf numFmtId="0" fontId="25" fillId="0" borderId="112" xfId="0" applyNumberFormat="1" applyFont="1" applyFill="1" applyBorder="1" applyAlignment="1">
      <alignment horizontal="center" vertical="center" wrapText="1"/>
    </xf>
    <xf numFmtId="0" fontId="9" fillId="0" borderId="156" xfId="0" applyNumberFormat="1" applyFont="1" applyFill="1" applyBorder="1" applyAlignment="1">
      <alignment horizontal="center" vertical="center" wrapText="1"/>
    </xf>
    <xf numFmtId="0" fontId="9" fillId="0" borderId="157" xfId="0" applyNumberFormat="1" applyFont="1" applyFill="1" applyBorder="1" applyAlignment="1">
      <alignment horizontal="center" vertical="center" wrapText="1"/>
    </xf>
    <xf numFmtId="0" fontId="3" fillId="0" borderId="108" xfId="0" applyNumberFormat="1" applyFont="1" applyFill="1" applyBorder="1" applyAlignment="1">
      <alignment horizontal="center" vertical="center" wrapText="1"/>
    </xf>
    <xf numFmtId="0" fontId="3" fillId="0" borderId="109" xfId="0" applyNumberFormat="1" applyFont="1" applyFill="1" applyBorder="1" applyAlignment="1">
      <alignment horizontal="center" vertical="center" wrapText="1"/>
    </xf>
    <xf numFmtId="0" fontId="1" fillId="0" borderId="175" xfId="0" applyNumberFormat="1" applyFont="1" applyBorder="1" applyAlignment="1">
      <alignment horizontal="center" vertical="center" wrapText="1"/>
    </xf>
    <xf numFmtId="0" fontId="1" fillId="0" borderId="177" xfId="0" applyNumberFormat="1" applyFont="1" applyBorder="1" applyAlignment="1">
      <alignment horizontal="center" vertical="center" wrapText="1"/>
    </xf>
    <xf numFmtId="0" fontId="1" fillId="0" borderId="272" xfId="0" applyNumberFormat="1" applyFont="1" applyBorder="1" applyAlignment="1">
      <alignment horizontal="center" vertical="center" wrapText="1"/>
    </xf>
    <xf numFmtId="0" fontId="1" fillId="0" borderId="179" xfId="0" applyNumberFormat="1" applyFont="1" applyBorder="1" applyAlignment="1">
      <alignment horizontal="center" vertical="center" wrapText="1"/>
    </xf>
    <xf numFmtId="0" fontId="1" fillId="0" borderId="72" xfId="0" applyNumberFormat="1" applyFont="1" applyBorder="1" applyAlignment="1">
      <alignment horizontal="center" vertical="center" wrapText="1"/>
    </xf>
    <xf numFmtId="0" fontId="1" fillId="13" borderId="410" xfId="0" applyNumberFormat="1" applyFont="1" applyFill="1" applyBorder="1" applyAlignment="1">
      <alignment horizontal="center" vertical="center" wrapText="1"/>
    </xf>
    <xf numFmtId="0" fontId="1" fillId="0" borderId="408" xfId="0" applyNumberFormat="1" applyFont="1" applyFill="1" applyBorder="1" applyAlignment="1">
      <alignment horizontal="center" vertical="center" wrapText="1"/>
    </xf>
    <xf numFmtId="0" fontId="1" fillId="0" borderId="410" xfId="0" applyNumberFormat="1" applyFont="1" applyFill="1" applyBorder="1" applyAlignment="1">
      <alignment horizontal="center" vertical="center" wrapText="1"/>
    </xf>
    <xf numFmtId="0" fontId="22" fillId="0" borderId="112" xfId="0" applyNumberFormat="1" applyFont="1" applyFill="1" applyBorder="1" applyAlignment="1">
      <alignment horizontal="center" vertical="center" wrapText="1"/>
    </xf>
    <xf numFmtId="0" fontId="9" fillId="0" borderId="156" xfId="0" applyNumberFormat="1" applyFont="1" applyBorder="1" applyAlignment="1">
      <alignment horizontal="center" vertical="center" wrapText="1"/>
    </xf>
    <xf numFmtId="0" fontId="9" fillId="0" borderId="157" xfId="0" applyNumberFormat="1" applyFont="1" applyBorder="1" applyAlignment="1">
      <alignment horizontal="center" vertical="center" wrapText="1"/>
    </xf>
    <xf numFmtId="0" fontId="3" fillId="0" borderId="18" xfId="0" applyNumberFormat="1" applyFont="1" applyFill="1" applyBorder="1" applyAlignment="1">
      <alignment horizontal="center" vertical="center" wrapText="1"/>
    </xf>
    <xf numFmtId="0" fontId="3" fillId="0" borderId="19" xfId="0" applyNumberFormat="1" applyFont="1" applyFill="1" applyBorder="1" applyAlignment="1">
      <alignment horizontal="center" vertical="center" wrapText="1"/>
    </xf>
    <xf numFmtId="0" fontId="0" fillId="0" borderId="403" xfId="0" applyNumberFormat="1" applyBorder="1" applyAlignment="1">
      <alignment horizontal="center" vertical="center"/>
    </xf>
    <xf numFmtId="0" fontId="0" fillId="0" borderId="404" xfId="0" applyNumberFormat="1" applyBorder="1" applyAlignment="1">
      <alignment horizontal="center" vertical="center"/>
    </xf>
    <xf numFmtId="0" fontId="0" fillId="0" borderId="405" xfId="0" applyNumberFormat="1" applyBorder="1" applyAlignment="1">
      <alignment horizontal="center" vertical="center"/>
    </xf>
    <xf numFmtId="0" fontId="1" fillId="0" borderId="93" xfId="0" applyNumberFormat="1" applyFont="1" applyFill="1" applyBorder="1" applyAlignment="1">
      <alignment horizontal="center" vertical="center" wrapText="1"/>
    </xf>
    <xf numFmtId="0" fontId="7" fillId="0" borderId="269" xfId="0" applyNumberFormat="1" applyFont="1" applyFill="1" applyBorder="1" applyAlignment="1">
      <alignment horizontal="center" vertical="center" wrapText="1"/>
    </xf>
    <xf numFmtId="0" fontId="7" fillId="0" borderId="271" xfId="0" applyNumberFormat="1" applyFont="1" applyFill="1" applyBorder="1" applyAlignment="1">
      <alignment horizontal="center" vertical="center" wrapText="1"/>
    </xf>
    <xf numFmtId="0" fontId="1" fillId="0" borderId="224" xfId="0" applyNumberFormat="1" applyFont="1" applyBorder="1" applyAlignment="1">
      <alignment horizontal="center" vertical="center" wrapText="1"/>
    </xf>
    <xf numFmtId="0" fontId="1" fillId="0" borderId="221" xfId="0" applyNumberFormat="1" applyFont="1" applyBorder="1" applyAlignment="1">
      <alignment horizontal="center" vertical="center" wrapText="1"/>
    </xf>
    <xf numFmtId="0" fontId="13" fillId="0" borderId="222" xfId="0" applyNumberFormat="1" applyFont="1" applyBorder="1" applyAlignment="1">
      <alignment horizontal="center" vertical="center" wrapText="1"/>
    </xf>
    <xf numFmtId="0" fontId="13" fillId="0" borderId="223" xfId="0" applyNumberFormat="1" applyFont="1" applyBorder="1" applyAlignment="1">
      <alignment horizontal="center" vertical="center" wrapText="1"/>
    </xf>
    <xf numFmtId="0" fontId="1" fillId="0" borderId="208" xfId="0" applyNumberFormat="1" applyFont="1" applyBorder="1" applyAlignment="1">
      <alignment horizontal="center" vertical="center" wrapText="1"/>
    </xf>
    <xf numFmtId="0" fontId="3" fillId="0" borderId="222" xfId="0" applyNumberFormat="1" applyFont="1" applyFill="1" applyBorder="1" applyAlignment="1">
      <alignment horizontal="center" vertical="center" shrinkToFit="1"/>
    </xf>
    <xf numFmtId="0" fontId="3" fillId="0" borderId="134" xfId="0" applyNumberFormat="1" applyFont="1" applyFill="1" applyBorder="1" applyAlignment="1">
      <alignment horizontal="center" vertical="center" shrinkToFit="1"/>
    </xf>
    <xf numFmtId="0" fontId="3" fillId="0" borderId="156" xfId="0" applyNumberFormat="1" applyFont="1" applyFill="1" applyBorder="1" applyAlignment="1">
      <alignment horizontal="center" vertical="center" shrinkToFit="1"/>
    </xf>
    <xf numFmtId="0" fontId="3" fillId="0" borderId="182" xfId="0" applyNumberFormat="1" applyFont="1" applyFill="1" applyBorder="1" applyAlignment="1">
      <alignment horizontal="center" vertical="center" shrinkToFit="1"/>
    </xf>
    <xf numFmtId="0" fontId="3" fillId="0" borderId="137" xfId="0" applyNumberFormat="1" applyFont="1" applyFill="1" applyBorder="1" applyAlignment="1">
      <alignment horizontal="center" vertical="center" shrinkToFit="1"/>
    </xf>
    <xf numFmtId="0" fontId="9" fillId="0" borderId="222" xfId="0" applyNumberFormat="1" applyFont="1" applyFill="1" applyBorder="1" applyAlignment="1">
      <alignment horizontal="center" vertical="center" wrapText="1"/>
    </xf>
    <xf numFmtId="0" fontId="9" fillId="0" borderId="223" xfId="0" applyNumberFormat="1" applyFont="1" applyFill="1" applyBorder="1" applyAlignment="1">
      <alignment horizontal="center" vertical="center" wrapText="1"/>
    </xf>
    <xf numFmtId="0" fontId="1" fillId="0" borderId="110" xfId="0" quotePrefix="1" applyNumberFormat="1" applyFont="1" applyFill="1" applyBorder="1" applyAlignment="1">
      <alignment horizontal="center" vertical="center" wrapText="1"/>
    </xf>
    <xf numFmtId="0" fontId="7" fillId="0" borderId="270" xfId="0" applyNumberFormat="1" applyFont="1" applyFill="1" applyBorder="1" applyAlignment="1">
      <alignment horizontal="center" vertical="center" wrapText="1"/>
    </xf>
    <xf numFmtId="0" fontId="3" fillId="0" borderId="223" xfId="0" applyNumberFormat="1" applyFont="1" applyFill="1" applyBorder="1" applyAlignment="1">
      <alignment horizontal="center" vertical="center" wrapText="1"/>
    </xf>
    <xf numFmtId="0" fontId="7" fillId="0" borderId="316" xfId="0" applyNumberFormat="1" applyFont="1" applyFill="1" applyBorder="1" applyAlignment="1" applyProtection="1">
      <alignment horizontal="center" vertical="center" wrapText="1"/>
    </xf>
    <xf numFmtId="0" fontId="7" fillId="0" borderId="317" xfId="0" applyNumberFormat="1" applyFont="1" applyFill="1" applyBorder="1" applyAlignment="1" applyProtection="1">
      <alignment horizontal="center" vertical="center" wrapText="1"/>
    </xf>
    <xf numFmtId="0" fontId="7" fillId="0" borderId="318" xfId="0" applyNumberFormat="1" applyFont="1" applyFill="1" applyBorder="1" applyAlignment="1" applyProtection="1">
      <alignment horizontal="center" vertical="center" wrapText="1"/>
    </xf>
    <xf numFmtId="0" fontId="26" fillId="0" borderId="111" xfId="0" applyNumberFormat="1" applyFont="1" applyFill="1" applyBorder="1" applyAlignment="1">
      <alignment horizontal="center" vertical="center" wrapText="1"/>
    </xf>
    <xf numFmtId="0" fontId="26" fillId="0" borderId="112" xfId="0" applyNumberFormat="1" applyFont="1" applyFill="1" applyBorder="1" applyAlignment="1">
      <alignment horizontal="center" vertical="center" wrapText="1"/>
    </xf>
    <xf numFmtId="0" fontId="24" fillId="0" borderId="111" xfId="0" applyNumberFormat="1" applyFont="1" applyFill="1" applyBorder="1" applyAlignment="1">
      <alignment horizontal="center" vertical="center" wrapText="1"/>
    </xf>
    <xf numFmtId="0" fontId="17" fillId="10" borderId="150" xfId="0" applyNumberFormat="1" applyFont="1" applyFill="1" applyBorder="1" applyAlignment="1" applyProtection="1">
      <alignment horizontal="center" vertical="center" wrapText="1"/>
    </xf>
    <xf numFmtId="0" fontId="5" fillId="0" borderId="222" xfId="0" applyNumberFormat="1" applyFont="1" applyFill="1" applyBorder="1" applyAlignment="1" applyProtection="1">
      <alignment horizontal="center" vertical="center" wrapText="1"/>
    </xf>
    <xf numFmtId="0" fontId="5" fillId="0" borderId="223" xfId="0" applyNumberFormat="1" applyFont="1" applyFill="1" applyBorder="1" applyAlignment="1" applyProtection="1">
      <alignment horizontal="center" vertical="center" wrapText="1"/>
    </xf>
    <xf numFmtId="0" fontId="3" fillId="0" borderId="222" xfId="0" applyNumberFormat="1" applyFont="1" applyFill="1" applyBorder="1" applyAlignment="1" applyProtection="1">
      <alignment horizontal="center" vertical="center" wrapText="1"/>
    </xf>
    <xf numFmtId="0" fontId="3" fillId="0" borderId="223" xfId="0" applyNumberFormat="1" applyFont="1" applyFill="1" applyBorder="1" applyAlignment="1" applyProtection="1">
      <alignment horizontal="center" vertical="center" wrapText="1"/>
    </xf>
    <xf numFmtId="0" fontId="3" fillId="0" borderId="111" xfId="0" applyNumberFormat="1" applyFont="1" applyFill="1" applyBorder="1" applyAlignment="1" applyProtection="1">
      <alignment horizontal="center" vertical="center" wrapText="1"/>
    </xf>
    <xf numFmtId="0" fontId="3" fillId="0" borderId="112" xfId="0" applyNumberFormat="1" applyFont="1" applyFill="1" applyBorder="1" applyAlignment="1" applyProtection="1">
      <alignment horizontal="center" vertical="center" wrapText="1"/>
    </xf>
    <xf numFmtId="0" fontId="21" fillId="0" borderId="238" xfId="0" applyNumberFormat="1" applyFont="1" applyFill="1" applyBorder="1" applyAlignment="1" applyProtection="1">
      <alignment horizontal="center" vertical="center" wrapText="1"/>
    </xf>
    <xf numFmtId="0" fontId="21" fillId="0" borderId="135" xfId="0" applyNumberFormat="1" applyFont="1" applyFill="1" applyBorder="1" applyAlignment="1" applyProtection="1">
      <alignment horizontal="center" vertical="center" wrapText="1"/>
    </xf>
    <xf numFmtId="0" fontId="21" fillId="0" borderId="136" xfId="0" applyNumberFormat="1" applyFont="1" applyFill="1" applyBorder="1" applyAlignment="1" applyProtection="1">
      <alignment horizontal="center" vertical="center" wrapText="1"/>
    </xf>
    <xf numFmtId="0" fontId="22" fillId="0" borderId="265" xfId="0" applyNumberFormat="1" applyFont="1" applyFill="1" applyBorder="1" applyAlignment="1" applyProtection="1">
      <alignment horizontal="center" vertical="center" wrapText="1"/>
    </xf>
    <xf numFmtId="0" fontId="22" fillId="0" borderId="138" xfId="0" applyNumberFormat="1" applyFont="1" applyFill="1" applyBorder="1" applyAlignment="1" applyProtection="1">
      <alignment horizontal="center" vertical="center" wrapText="1"/>
    </xf>
    <xf numFmtId="0" fontId="22" fillId="0" borderId="139" xfId="0" applyNumberFormat="1" applyFont="1" applyFill="1" applyBorder="1" applyAlignment="1" applyProtection="1">
      <alignment horizontal="center" vertical="center" wrapText="1"/>
    </xf>
    <xf numFmtId="0" fontId="17" fillId="10" borderId="154" xfId="0" applyNumberFormat="1" applyFont="1" applyFill="1" applyBorder="1" applyAlignment="1" applyProtection="1">
      <alignment horizontal="center" vertical="center" wrapText="1"/>
    </xf>
    <xf numFmtId="0" fontId="1" fillId="15" borderId="232" xfId="0" applyNumberFormat="1" applyFont="1" applyFill="1" applyBorder="1" applyAlignment="1" applyProtection="1">
      <alignment horizontal="center" vertical="center" wrapText="1"/>
    </xf>
    <xf numFmtId="0" fontId="1" fillId="15" borderId="206" xfId="0" applyNumberFormat="1" applyFont="1" applyFill="1" applyBorder="1" applyAlignment="1" applyProtection="1">
      <alignment horizontal="center" vertical="center" wrapText="1"/>
    </xf>
    <xf numFmtId="0" fontId="1" fillId="15" borderId="207" xfId="0" applyNumberFormat="1" applyFont="1" applyFill="1" applyBorder="1" applyAlignment="1" applyProtection="1">
      <alignment horizontal="center" vertical="center" wrapText="1"/>
    </xf>
    <xf numFmtId="0" fontId="1" fillId="0" borderId="158" xfId="0" applyNumberFormat="1" applyFont="1" applyFill="1" applyBorder="1" applyAlignment="1" applyProtection="1">
      <alignment horizontal="center" vertical="center" wrapText="1"/>
    </xf>
    <xf numFmtId="0" fontId="5" fillId="0" borderId="261" xfId="0" applyNumberFormat="1" applyFont="1" applyFill="1" applyBorder="1" applyAlignment="1" applyProtection="1">
      <alignment horizontal="center" vertical="center" wrapText="1"/>
    </xf>
    <xf numFmtId="0" fontId="5" fillId="0" borderId="262" xfId="0" applyNumberFormat="1" applyFont="1" applyFill="1" applyBorder="1" applyAlignment="1" applyProtection="1">
      <alignment horizontal="center" vertical="center" wrapText="1"/>
    </xf>
    <xf numFmtId="0" fontId="5" fillId="0" borderId="263" xfId="0" applyNumberFormat="1" applyFont="1" applyFill="1" applyBorder="1" applyAlignment="1" applyProtection="1">
      <alignment horizontal="center" vertical="center" wrapText="1"/>
    </xf>
    <xf numFmtId="0" fontId="17" fillId="10" borderId="235" xfId="0" applyNumberFormat="1" applyFont="1" applyFill="1" applyBorder="1" applyAlignment="1" applyProtection="1">
      <alignment horizontal="center" vertical="center" wrapText="1"/>
    </xf>
    <xf numFmtId="0" fontId="17" fillId="10" borderId="212" xfId="0" applyNumberFormat="1" applyFont="1" applyFill="1" applyBorder="1" applyAlignment="1">
      <alignment horizontal="center" vertical="center" wrapText="1"/>
    </xf>
    <xf numFmtId="0" fontId="17" fillId="10" borderId="319" xfId="0" applyNumberFormat="1" applyFont="1" applyFill="1" applyBorder="1" applyAlignment="1">
      <alignment horizontal="center" vertical="center" wrapText="1"/>
    </xf>
    <xf numFmtId="0" fontId="17" fillId="10" borderId="152" xfId="0" applyNumberFormat="1" applyFont="1" applyFill="1" applyBorder="1" applyAlignment="1">
      <alignment horizontal="center" vertical="center" wrapText="1"/>
    </xf>
    <xf numFmtId="0" fontId="17" fillId="10" borderId="241" xfId="0" applyNumberFormat="1" applyFont="1" applyFill="1" applyBorder="1" applyAlignment="1">
      <alignment horizontal="center" vertical="center" wrapText="1"/>
    </xf>
    <xf numFmtId="0" fontId="17" fillId="10" borderId="242" xfId="0" quotePrefix="1" applyNumberFormat="1" applyFont="1" applyFill="1" applyBorder="1" applyAlignment="1">
      <alignment horizontal="center" vertical="center" wrapText="1"/>
    </xf>
    <xf numFmtId="0" fontId="17" fillId="10" borderId="245" xfId="0" applyNumberFormat="1" applyFont="1" applyFill="1" applyBorder="1" applyAlignment="1" applyProtection="1">
      <alignment horizontal="center" vertical="center" wrapText="1"/>
    </xf>
    <xf numFmtId="0" fontId="17" fillId="10" borderId="240" xfId="0" applyNumberFormat="1" applyFont="1" applyFill="1" applyBorder="1" applyAlignment="1" applyProtection="1">
      <alignment horizontal="center" vertical="center" wrapText="1"/>
    </xf>
    <xf numFmtId="0" fontId="1" fillId="0" borderId="254" xfId="0" applyNumberFormat="1" applyFont="1" applyFill="1" applyBorder="1" applyAlignment="1" applyProtection="1">
      <alignment horizontal="center" vertical="center" wrapText="1"/>
    </xf>
    <xf numFmtId="0" fontId="1" fillId="0" borderId="255" xfId="0" applyNumberFormat="1" applyFont="1" applyFill="1" applyBorder="1" applyAlignment="1" applyProtection="1">
      <alignment horizontal="center" vertical="center" wrapText="1"/>
    </xf>
    <xf numFmtId="0" fontId="1" fillId="0" borderId="256" xfId="0" applyNumberFormat="1" applyFont="1" applyFill="1" applyBorder="1" applyAlignment="1" applyProtection="1">
      <alignment horizontal="center" vertical="center" wrapText="1"/>
    </xf>
    <xf numFmtId="0" fontId="5" fillId="0" borderId="250" xfId="0" applyNumberFormat="1" applyFont="1" applyFill="1" applyBorder="1" applyAlignment="1" applyProtection="1">
      <alignment horizontal="center" vertical="center" wrapText="1"/>
    </xf>
    <xf numFmtId="0" fontId="5" fillId="0" borderId="251" xfId="0" applyNumberFormat="1" applyFont="1" applyFill="1" applyBorder="1" applyAlignment="1" applyProtection="1">
      <alignment horizontal="center" vertical="center" wrapText="1"/>
    </xf>
    <xf numFmtId="0" fontId="5" fillId="0" borderId="252" xfId="0" applyNumberFormat="1" applyFont="1" applyFill="1" applyBorder="1" applyAlignment="1" applyProtection="1">
      <alignment horizontal="center" vertical="center" wrapText="1"/>
    </xf>
    <xf numFmtId="0" fontId="13" fillId="0" borderId="182" xfId="0" applyNumberFormat="1" applyFont="1" applyFill="1" applyBorder="1" applyAlignment="1" applyProtection="1">
      <alignment horizontal="center" vertical="center" wrapText="1"/>
    </xf>
    <xf numFmtId="0" fontId="13" fillId="0" borderId="243" xfId="0" applyNumberFormat="1" applyFont="1" applyFill="1" applyBorder="1" applyAlignment="1" applyProtection="1">
      <alignment horizontal="center" vertical="center" wrapText="1"/>
    </xf>
    <xf numFmtId="0" fontId="13" fillId="0" borderId="244" xfId="0" applyNumberFormat="1" applyFont="1" applyFill="1" applyBorder="1" applyAlignment="1" applyProtection="1">
      <alignment horizontal="center" vertical="center" wrapText="1"/>
    </xf>
    <xf numFmtId="0" fontId="7" fillId="0" borderId="253" xfId="0" applyNumberFormat="1" applyFont="1" applyFill="1" applyBorder="1" applyAlignment="1" applyProtection="1">
      <alignment horizontal="center" vertical="center" wrapText="1"/>
    </xf>
    <xf numFmtId="0" fontId="7" fillId="0" borderId="201" xfId="0" applyNumberFormat="1" applyFont="1" applyFill="1" applyBorder="1" applyAlignment="1" applyProtection="1">
      <alignment horizontal="center" vertical="center" wrapText="1"/>
    </xf>
    <xf numFmtId="0" fontId="7" fillId="0" borderId="44" xfId="0" applyNumberFormat="1" applyFont="1" applyFill="1" applyBorder="1" applyAlignment="1" applyProtection="1">
      <alignment horizontal="center" vertical="center" wrapText="1"/>
    </xf>
    <xf numFmtId="0" fontId="17" fillId="10" borderId="153" xfId="0" applyNumberFormat="1" applyFont="1" applyFill="1" applyBorder="1" applyAlignment="1">
      <alignment horizontal="center" vertical="center" wrapText="1"/>
    </xf>
    <xf numFmtId="0" fontId="17" fillId="10" borderId="155" xfId="0" applyNumberFormat="1" applyFont="1" applyFill="1" applyBorder="1" applyAlignment="1">
      <alignment horizontal="center" vertical="center" wrapText="1"/>
    </xf>
    <xf numFmtId="0" fontId="17" fillId="10" borderId="37" xfId="0" applyNumberFormat="1" applyFont="1" applyFill="1" applyBorder="1" applyAlignment="1">
      <alignment horizontal="center" vertical="center" wrapText="1"/>
    </xf>
    <xf numFmtId="0" fontId="17" fillId="10" borderId="33" xfId="0" applyNumberFormat="1" applyFont="1" applyFill="1" applyBorder="1" applyAlignment="1">
      <alignment horizontal="center" vertical="center" wrapText="1"/>
    </xf>
    <xf numFmtId="0" fontId="17" fillId="10" borderId="48" xfId="0" applyNumberFormat="1" applyFont="1" applyFill="1" applyBorder="1" applyAlignment="1">
      <alignment horizontal="center" vertical="center" wrapText="1"/>
    </xf>
    <xf numFmtId="0" fontId="17" fillId="10" borderId="124" xfId="0" applyNumberFormat="1" applyFont="1" applyFill="1" applyBorder="1" applyAlignment="1">
      <alignment horizontal="center" vertical="center" wrapText="1"/>
    </xf>
    <xf numFmtId="0" fontId="17" fillId="10" borderId="125" xfId="0" applyNumberFormat="1" applyFont="1" applyFill="1" applyBorder="1" applyAlignment="1">
      <alignment horizontal="center" vertical="center" wrapText="1"/>
    </xf>
    <xf numFmtId="0" fontId="17" fillId="10" borderId="84" xfId="0" applyNumberFormat="1" applyFont="1" applyFill="1" applyBorder="1" applyAlignment="1">
      <alignment horizontal="center" vertical="center" wrapText="1"/>
    </xf>
    <xf numFmtId="0" fontId="3" fillId="3" borderId="134" xfId="0" applyNumberFormat="1" applyFont="1" applyFill="1" applyBorder="1" applyAlignment="1">
      <alignment horizontal="center" vertical="center" wrapText="1"/>
    </xf>
    <xf numFmtId="0" fontId="1" fillId="0" borderId="225" xfId="0" applyNumberFormat="1" applyFont="1" applyFill="1" applyBorder="1" applyAlignment="1">
      <alignment horizontal="center" vertical="center" shrinkToFit="1"/>
    </xf>
    <xf numFmtId="0" fontId="1" fillId="3" borderId="225" xfId="0" applyNumberFormat="1" applyFont="1" applyFill="1" applyBorder="1" applyAlignment="1">
      <alignment horizontal="center" vertical="center" shrinkToFit="1"/>
    </xf>
    <xf numFmtId="0" fontId="1" fillId="3" borderId="226" xfId="0" applyNumberFormat="1" applyFont="1" applyFill="1" applyBorder="1" applyAlignment="1">
      <alignment horizontal="center" vertical="center" shrinkToFit="1"/>
    </xf>
    <xf numFmtId="0" fontId="3" fillId="0" borderId="133" xfId="0" applyNumberFormat="1" applyFont="1" applyFill="1" applyBorder="1" applyAlignment="1">
      <alignment horizontal="center" vertical="center" wrapText="1"/>
    </xf>
    <xf numFmtId="0" fontId="3" fillId="0" borderId="156" xfId="0" applyNumberFormat="1" applyFont="1" applyFill="1" applyBorder="1" applyAlignment="1">
      <alignment horizontal="center" vertical="center" wrapText="1"/>
    </xf>
    <xf numFmtId="0" fontId="3" fillId="0" borderId="157" xfId="0" applyNumberFormat="1" applyFont="1" applyFill="1" applyBorder="1" applyAlignment="1">
      <alignment horizontal="center" vertical="center" wrapText="1"/>
    </xf>
    <xf numFmtId="0" fontId="9" fillId="0" borderId="138" xfId="0" applyNumberFormat="1" applyFont="1" applyFill="1" applyBorder="1" applyAlignment="1">
      <alignment horizontal="center" vertical="center" shrinkToFit="1"/>
    </xf>
    <xf numFmtId="0" fontId="9" fillId="0" borderId="139" xfId="0" applyNumberFormat="1" applyFont="1" applyFill="1" applyBorder="1" applyAlignment="1">
      <alignment horizontal="center" vertical="center" shrinkToFit="1"/>
    </xf>
    <xf numFmtId="0" fontId="3" fillId="0" borderId="290" xfId="0" applyNumberFormat="1" applyFont="1" applyBorder="1" applyAlignment="1">
      <alignment horizontal="center" vertical="center" wrapText="1"/>
    </xf>
    <xf numFmtId="0" fontId="3" fillId="0" borderId="156" xfId="0" applyNumberFormat="1" applyFont="1" applyBorder="1" applyAlignment="1">
      <alignment horizontal="center" vertical="center" wrapText="1"/>
    </xf>
    <xf numFmtId="0" fontId="3" fillId="0" borderId="157" xfId="0" applyNumberFormat="1" applyFont="1" applyBorder="1" applyAlignment="1">
      <alignment horizontal="center" vertical="center" wrapText="1"/>
    </xf>
    <xf numFmtId="0" fontId="3" fillId="0" borderId="129" xfId="0" applyNumberFormat="1" applyFont="1" applyBorder="1" applyAlignment="1">
      <alignment horizontal="center" vertical="center" wrapText="1"/>
    </xf>
    <xf numFmtId="0" fontId="1" fillId="3" borderId="202" xfId="0" applyNumberFormat="1" applyFont="1" applyFill="1" applyBorder="1" applyAlignment="1">
      <alignment horizontal="center" vertical="center" wrapText="1"/>
    </xf>
    <xf numFmtId="0" fontId="1" fillId="0" borderId="179" xfId="0" applyNumberFormat="1" applyFont="1" applyFill="1" applyBorder="1" applyAlignment="1">
      <alignment horizontal="center" vertical="center" wrapText="1"/>
    </xf>
    <xf numFmtId="0" fontId="1" fillId="0" borderId="72" xfId="0" applyNumberFormat="1" applyFont="1" applyFill="1" applyBorder="1" applyAlignment="1">
      <alignment horizontal="center" vertical="center" wrapText="1"/>
    </xf>
    <xf numFmtId="0" fontId="3" fillId="0" borderId="182" xfId="0" applyNumberFormat="1" applyFont="1" applyBorder="1" applyAlignment="1">
      <alignment horizontal="center" vertical="center" wrapText="1"/>
    </xf>
    <xf numFmtId="0" fontId="26" fillId="7" borderId="231" xfId="0" applyNumberFormat="1" applyFont="1" applyFill="1" applyBorder="1" applyAlignment="1">
      <alignment horizontal="center" vertical="center" wrapText="1"/>
    </xf>
    <xf numFmtId="0" fontId="26" fillId="7" borderId="173" xfId="0" applyNumberFormat="1" applyFont="1" applyFill="1" applyBorder="1" applyAlignment="1">
      <alignment horizontal="center" vertical="center" wrapText="1"/>
    </xf>
    <xf numFmtId="0" fontId="26" fillId="7" borderId="174" xfId="0" applyNumberFormat="1" applyFont="1" applyFill="1" applyBorder="1" applyAlignment="1">
      <alignment horizontal="center" vertical="center" wrapText="1"/>
    </xf>
    <xf numFmtId="0" fontId="13" fillId="7" borderId="110" xfId="0" applyNumberFormat="1" applyFont="1" applyFill="1" applyBorder="1" applyAlignment="1">
      <alignment horizontal="center" vertical="center" wrapText="1"/>
    </xf>
    <xf numFmtId="0" fontId="13" fillId="7" borderId="111" xfId="0" applyNumberFormat="1" applyFont="1" applyFill="1" applyBorder="1" applyAlignment="1">
      <alignment horizontal="center" vertical="center" wrapText="1"/>
    </xf>
    <xf numFmtId="0" fontId="13" fillId="7" borderId="112" xfId="0" applyNumberFormat="1" applyFont="1" applyFill="1" applyBorder="1" applyAlignment="1">
      <alignment horizontal="center" vertical="center" wrapText="1"/>
    </xf>
    <xf numFmtId="0" fontId="3" fillId="7" borderId="325" xfId="0" applyNumberFormat="1" applyFont="1" applyFill="1" applyBorder="1" applyAlignment="1">
      <alignment horizontal="center" vertical="center" wrapText="1"/>
    </xf>
    <xf numFmtId="0" fontId="3" fillId="7" borderId="170" xfId="0" applyNumberFormat="1" applyFont="1" applyFill="1" applyBorder="1" applyAlignment="1">
      <alignment horizontal="center" vertical="center" wrapText="1"/>
    </xf>
    <xf numFmtId="0" fontId="3" fillId="7" borderId="171" xfId="0" applyNumberFormat="1" applyFont="1" applyFill="1" applyBorder="1" applyAlignment="1">
      <alignment horizontal="center" vertical="center" wrapText="1"/>
    </xf>
    <xf numFmtId="0" fontId="1" fillId="7" borderId="140" xfId="0" applyNumberFormat="1" applyFont="1" applyFill="1" applyBorder="1" applyAlignment="1">
      <alignment horizontal="center" vertical="center" wrapText="1"/>
    </xf>
    <xf numFmtId="0" fontId="1" fillId="7" borderId="141" xfId="0" quotePrefix="1" applyNumberFormat="1" applyFont="1" applyFill="1" applyBorder="1" applyAlignment="1">
      <alignment horizontal="center" vertical="center" wrapText="1"/>
    </xf>
    <xf numFmtId="0" fontId="1" fillId="7" borderId="141" xfId="0" applyNumberFormat="1" applyFont="1" applyFill="1" applyBorder="1" applyAlignment="1">
      <alignment horizontal="center" vertical="center" wrapText="1"/>
    </xf>
    <xf numFmtId="0" fontId="1" fillId="7" borderId="183" xfId="0" applyNumberFormat="1" applyFont="1" applyFill="1" applyBorder="1" applyAlignment="1">
      <alignment horizontal="center" vertical="center" wrapText="1"/>
    </xf>
    <xf numFmtId="0" fontId="47" fillId="3" borderId="231" xfId="0" applyNumberFormat="1" applyFont="1" applyFill="1" applyBorder="1" applyAlignment="1">
      <alignment horizontal="center" vertical="center" shrinkToFit="1"/>
    </xf>
    <xf numFmtId="0" fontId="47" fillId="3" borderId="173" xfId="0" applyNumberFormat="1" applyFont="1" applyFill="1" applyBorder="1" applyAlignment="1">
      <alignment horizontal="center" vertical="center" shrinkToFit="1"/>
    </xf>
    <xf numFmtId="0" fontId="47" fillId="3" borderId="174" xfId="0" applyNumberFormat="1" applyFont="1" applyFill="1" applyBorder="1" applyAlignment="1">
      <alignment horizontal="center" vertical="center" shrinkToFit="1"/>
    </xf>
    <xf numFmtId="0" fontId="1" fillId="3" borderId="215" xfId="0" applyNumberFormat="1" applyFont="1" applyFill="1" applyBorder="1" applyAlignment="1">
      <alignment horizontal="center" vertical="center" wrapText="1"/>
    </xf>
    <xf numFmtId="0" fontId="1" fillId="3" borderId="162" xfId="0" applyNumberFormat="1" applyFont="1" applyFill="1" applyBorder="1" applyAlignment="1">
      <alignment horizontal="center" vertical="center" wrapText="1"/>
    </xf>
    <xf numFmtId="0" fontId="1" fillId="3" borderId="163" xfId="0" applyNumberFormat="1" applyFont="1" applyFill="1" applyBorder="1" applyAlignment="1">
      <alignment horizontal="center" vertical="center" wrapText="1"/>
    </xf>
    <xf numFmtId="0" fontId="1" fillId="0" borderId="216" xfId="0" applyNumberFormat="1" applyFont="1" applyFill="1" applyBorder="1" applyAlignment="1">
      <alignment horizontal="center" vertical="center" wrapText="1"/>
    </xf>
    <xf numFmtId="0" fontId="1" fillId="0" borderId="192" xfId="0" applyNumberFormat="1" applyFont="1" applyFill="1" applyBorder="1" applyAlignment="1">
      <alignment horizontal="center" vertical="center" wrapText="1"/>
    </xf>
    <xf numFmtId="0" fontId="1" fillId="0" borderId="217" xfId="0" applyNumberFormat="1" applyFont="1" applyFill="1" applyBorder="1" applyAlignment="1">
      <alignment horizontal="center" vertical="center" wrapText="1"/>
    </xf>
    <xf numFmtId="0" fontId="5" fillId="3" borderId="377" xfId="0" applyNumberFormat="1" applyFont="1" applyFill="1" applyBorder="1" applyAlignment="1">
      <alignment horizontal="center" vertical="center" shrinkToFit="1"/>
    </xf>
    <xf numFmtId="0" fontId="5" fillId="3" borderId="312" xfId="0" applyNumberFormat="1" applyFont="1" applyFill="1" applyBorder="1" applyAlignment="1">
      <alignment horizontal="center" vertical="center" shrinkToFit="1"/>
    </xf>
    <xf numFmtId="0" fontId="5" fillId="3" borderId="313" xfId="0" applyNumberFormat="1" applyFont="1" applyFill="1" applyBorder="1" applyAlignment="1">
      <alignment horizontal="center" vertical="center" shrinkToFit="1"/>
    </xf>
    <xf numFmtId="0" fontId="3" fillId="5" borderId="325" xfId="0" applyNumberFormat="1" applyFont="1" applyFill="1" applyBorder="1" applyAlignment="1">
      <alignment horizontal="center" vertical="center" wrapText="1"/>
    </xf>
    <xf numFmtId="0" fontId="3" fillId="5" borderId="170" xfId="0" applyNumberFormat="1" applyFont="1" applyFill="1" applyBorder="1" applyAlignment="1">
      <alignment horizontal="center" vertical="center" wrapText="1"/>
    </xf>
    <xf numFmtId="0" fontId="3" fillId="5" borderId="171" xfId="0" applyNumberFormat="1" applyFont="1" applyFill="1" applyBorder="1" applyAlignment="1">
      <alignment horizontal="center" vertical="center" wrapText="1"/>
    </xf>
    <xf numFmtId="0" fontId="26" fillId="5" borderId="326" xfId="0" applyNumberFormat="1" applyFont="1" applyFill="1" applyBorder="1" applyAlignment="1">
      <alignment horizontal="center" vertical="center" wrapText="1"/>
    </xf>
    <xf numFmtId="0" fontId="26" fillId="5" borderId="294" xfId="0" applyNumberFormat="1" applyFont="1" applyFill="1" applyBorder="1" applyAlignment="1">
      <alignment horizontal="center" vertical="center" wrapText="1"/>
    </xf>
    <xf numFmtId="0" fontId="26" fillId="5" borderId="295" xfId="0" applyNumberFormat="1" applyFont="1" applyFill="1" applyBorder="1" applyAlignment="1">
      <alignment horizontal="center" vertical="center" wrapText="1"/>
    </xf>
    <xf numFmtId="0" fontId="46" fillId="0" borderId="111" xfId="0" applyNumberFormat="1" applyFont="1" applyFill="1" applyBorder="1" applyAlignment="1">
      <alignment horizontal="center" vertical="center" wrapText="1"/>
    </xf>
    <xf numFmtId="0" fontId="47" fillId="0" borderId="111" xfId="0" applyNumberFormat="1" applyFont="1" applyFill="1" applyBorder="1" applyAlignment="1">
      <alignment horizontal="center" vertical="center" wrapText="1"/>
    </xf>
    <xf numFmtId="0" fontId="47" fillId="0" borderId="112" xfId="0" applyNumberFormat="1" applyFont="1" applyFill="1" applyBorder="1" applyAlignment="1">
      <alignment horizontal="center" vertical="center" wrapText="1"/>
    </xf>
    <xf numFmtId="0" fontId="19" fillId="0" borderId="111" xfId="0" applyNumberFormat="1" applyFont="1" applyFill="1" applyBorder="1" applyAlignment="1">
      <alignment horizontal="center" vertical="center" wrapText="1"/>
    </xf>
    <xf numFmtId="0" fontId="19" fillId="0" borderId="112" xfId="0" applyNumberFormat="1" applyFont="1" applyFill="1" applyBorder="1" applyAlignment="1">
      <alignment horizontal="center" vertical="center" wrapText="1"/>
    </xf>
    <xf numFmtId="0" fontId="26" fillId="5" borderId="231" xfId="0" applyNumberFormat="1" applyFont="1" applyFill="1" applyBorder="1" applyAlignment="1">
      <alignment horizontal="center" vertical="center" wrapText="1"/>
    </xf>
    <xf numFmtId="0" fontId="26" fillId="5" borderId="173" xfId="0" applyNumberFormat="1" applyFont="1" applyFill="1" applyBorder="1" applyAlignment="1">
      <alignment horizontal="center" vertical="center" wrapText="1"/>
    </xf>
    <xf numFmtId="0" fontId="26" fillId="5" borderId="174" xfId="0" applyNumberFormat="1" applyFont="1" applyFill="1" applyBorder="1" applyAlignment="1">
      <alignment horizontal="center" vertical="center" wrapText="1"/>
    </xf>
    <xf numFmtId="0" fontId="50" fillId="12" borderId="189" xfId="0" applyNumberFormat="1" applyFont="1" applyFill="1" applyBorder="1" applyAlignment="1">
      <alignment horizontal="center" vertical="center" wrapText="1"/>
    </xf>
    <xf numFmtId="0" fontId="50" fillId="12" borderId="30" xfId="0" applyNumberFormat="1" applyFont="1" applyFill="1" applyBorder="1" applyAlignment="1">
      <alignment horizontal="center" vertical="center" wrapText="1"/>
    </xf>
    <xf numFmtId="0" fontId="50" fillId="12" borderId="310" xfId="0" applyNumberFormat="1" applyFont="1" applyFill="1" applyBorder="1" applyAlignment="1">
      <alignment horizontal="center" vertical="center" wrapText="1"/>
    </xf>
    <xf numFmtId="0" fontId="50" fillId="12" borderId="31" xfId="0" applyNumberFormat="1" applyFont="1" applyFill="1" applyBorder="1" applyAlignment="1">
      <alignment horizontal="center" vertical="center" wrapText="1"/>
    </xf>
    <xf numFmtId="0" fontId="50" fillId="12" borderId="190" xfId="0" applyNumberFormat="1" applyFont="1" applyFill="1" applyBorder="1" applyAlignment="1">
      <alignment horizontal="center" vertical="center" wrapText="1"/>
    </xf>
    <xf numFmtId="0" fontId="50" fillId="12" borderId="70" xfId="0" applyNumberFormat="1" applyFont="1" applyFill="1" applyBorder="1" applyAlignment="1">
      <alignment horizontal="center" vertical="center" wrapText="1"/>
    </xf>
    <xf numFmtId="0" fontId="44" fillId="12" borderId="184" xfId="0" applyNumberFormat="1" applyFont="1" applyFill="1" applyBorder="1" applyAlignment="1">
      <alignment horizontal="center" vertical="center" wrapText="1"/>
    </xf>
    <xf numFmtId="0" fontId="44" fillId="12" borderId="185" xfId="0" applyNumberFormat="1" applyFont="1" applyFill="1" applyBorder="1" applyAlignment="1">
      <alignment horizontal="center" vertical="center" wrapText="1"/>
    </xf>
    <xf numFmtId="0" fontId="44" fillId="12" borderId="186" xfId="0" applyNumberFormat="1" applyFont="1" applyFill="1" applyBorder="1" applyAlignment="1">
      <alignment horizontal="center" vertical="center" wrapText="1"/>
    </xf>
    <xf numFmtId="0" fontId="44" fillId="12" borderId="0" xfId="0" applyNumberFormat="1" applyFont="1" applyFill="1" applyBorder="1" applyAlignment="1">
      <alignment horizontal="center" vertical="center" wrapText="1"/>
    </xf>
    <xf numFmtId="0" fontId="44" fillId="12" borderId="187" xfId="0" applyNumberFormat="1" applyFont="1" applyFill="1" applyBorder="1" applyAlignment="1">
      <alignment horizontal="center" vertical="center" wrapText="1"/>
    </xf>
    <xf numFmtId="0" fontId="44" fillId="12" borderId="188" xfId="0" applyNumberFormat="1" applyFont="1" applyFill="1" applyBorder="1" applyAlignment="1">
      <alignment horizontal="center" vertical="center" wrapText="1"/>
    </xf>
    <xf numFmtId="0" fontId="10" fillId="12" borderId="189" xfId="0" applyNumberFormat="1" applyFont="1" applyFill="1" applyBorder="1" applyAlignment="1">
      <alignment horizontal="center" vertical="center" wrapText="1"/>
    </xf>
    <xf numFmtId="0" fontId="10" fillId="12" borderId="146" xfId="0" applyNumberFormat="1" applyFont="1" applyFill="1" applyBorder="1" applyAlignment="1">
      <alignment horizontal="center" vertical="center" wrapText="1"/>
    </xf>
    <xf numFmtId="0" fontId="10" fillId="12" borderId="190" xfId="0" applyNumberFormat="1" applyFont="1" applyFill="1" applyBorder="1" applyAlignment="1">
      <alignment horizontal="center" vertical="center" wrapText="1"/>
    </xf>
    <xf numFmtId="0" fontId="10" fillId="12" borderId="191" xfId="0" applyNumberFormat="1" applyFont="1" applyFill="1" applyBorder="1" applyAlignment="1">
      <alignment horizontal="center" vertical="center" wrapText="1"/>
    </xf>
    <xf numFmtId="0" fontId="10" fillId="12" borderId="192" xfId="0" applyNumberFormat="1" applyFont="1" applyFill="1" applyBorder="1" applyAlignment="1">
      <alignment horizontal="center" vertical="center" wrapText="1"/>
    </xf>
    <xf numFmtId="0" fontId="10" fillId="12" borderId="193" xfId="0" applyNumberFormat="1" applyFont="1" applyFill="1" applyBorder="1" applyAlignment="1">
      <alignment horizontal="center" vertical="center" wrapText="1"/>
    </xf>
    <xf numFmtId="0" fontId="17" fillId="10" borderId="209" xfId="0" applyNumberFormat="1" applyFont="1" applyFill="1" applyBorder="1" applyAlignment="1" applyProtection="1">
      <alignment horizontal="center" vertical="center" wrapText="1"/>
    </xf>
    <xf numFmtId="0" fontId="17" fillId="10" borderId="210" xfId="0" quotePrefix="1" applyNumberFormat="1" applyFont="1" applyFill="1" applyBorder="1" applyAlignment="1" applyProtection="1">
      <alignment horizontal="center" vertical="center" wrapText="1"/>
    </xf>
    <xf numFmtId="0" fontId="17" fillId="10" borderId="210" xfId="0" applyNumberFormat="1" applyFont="1" applyFill="1" applyBorder="1" applyAlignment="1" applyProtection="1">
      <alignment horizontal="center" vertical="center" wrapText="1"/>
    </xf>
    <xf numFmtId="0" fontId="17" fillId="10" borderId="211" xfId="0" applyNumberFormat="1" applyFont="1" applyFill="1" applyBorder="1" applyAlignment="1" applyProtection="1">
      <alignment horizontal="center" vertical="center" wrapText="1"/>
    </xf>
    <xf numFmtId="0" fontId="17" fillId="10" borderId="213" xfId="0" applyNumberFormat="1" applyFont="1" applyFill="1" applyBorder="1" applyAlignment="1">
      <alignment horizontal="center" vertical="center" wrapText="1"/>
    </xf>
    <xf numFmtId="0" fontId="17" fillId="10" borderId="67" xfId="0" applyNumberFormat="1" applyFont="1" applyFill="1" applyBorder="1" applyAlignment="1">
      <alignment horizontal="center" vertical="center" wrapText="1"/>
    </xf>
    <xf numFmtId="0" fontId="17" fillId="10" borderId="195" xfId="0" applyNumberFormat="1" applyFont="1" applyFill="1" applyBorder="1" applyAlignment="1">
      <alignment horizontal="center" vertical="center" wrapText="1"/>
    </xf>
    <xf numFmtId="0" fontId="17" fillId="10" borderId="195" xfId="0" quotePrefix="1" applyNumberFormat="1" applyFont="1" applyFill="1" applyBorder="1" applyAlignment="1">
      <alignment horizontal="center" vertical="center" wrapText="1"/>
    </xf>
    <xf numFmtId="0" fontId="17" fillId="10" borderId="34" xfId="0" applyNumberFormat="1" applyFont="1" applyFill="1" applyBorder="1" applyAlignment="1">
      <alignment horizontal="center" vertical="center" wrapText="1"/>
    </xf>
    <xf numFmtId="0" fontId="14" fillId="10" borderId="144" xfId="0" applyNumberFormat="1" applyFont="1" applyFill="1" applyBorder="1" applyAlignment="1" applyProtection="1">
      <alignment horizontal="center" vertical="center" wrapText="1"/>
    </xf>
    <xf numFmtId="0" fontId="14" fillId="10" borderId="122" xfId="0" applyNumberFormat="1" applyFont="1" applyFill="1" applyBorder="1" applyAlignment="1" applyProtection="1">
      <alignment horizontal="center" vertical="center" wrapText="1"/>
    </xf>
    <xf numFmtId="0" fontId="14" fillId="10" borderId="123" xfId="0" applyNumberFormat="1" applyFont="1" applyFill="1" applyBorder="1" applyAlignment="1" applyProtection="1">
      <alignment horizontal="center" vertical="center" wrapText="1"/>
    </xf>
    <xf numFmtId="0" fontId="17" fillId="10" borderId="219" xfId="0" applyNumberFormat="1" applyFont="1" applyFill="1" applyBorder="1" applyAlignment="1">
      <alignment horizontal="center" vertical="center" wrapText="1"/>
    </xf>
    <xf numFmtId="0" fontId="17" fillId="10" borderId="196" xfId="0" applyNumberFormat="1" applyFont="1" applyFill="1" applyBorder="1" applyAlignment="1">
      <alignment horizontal="center" vertical="center" wrapText="1"/>
    </xf>
    <xf numFmtId="0" fontId="10" fillId="12" borderId="194" xfId="0" applyNumberFormat="1" applyFont="1" applyFill="1" applyBorder="1" applyAlignment="1">
      <alignment horizontal="center" vertical="center" wrapText="1"/>
    </xf>
    <xf numFmtId="0" fontId="10" fillId="12" borderId="195" xfId="0" applyNumberFormat="1" applyFont="1" applyFill="1" applyBorder="1" applyAlignment="1">
      <alignment horizontal="center" vertical="center" wrapText="1"/>
    </xf>
    <xf numFmtId="0" fontId="10" fillId="12" borderId="196" xfId="0" applyNumberFormat="1" applyFont="1" applyFill="1" applyBorder="1" applyAlignment="1">
      <alignment horizontal="center" vertical="center" wrapText="1"/>
    </xf>
    <xf numFmtId="0" fontId="10" fillId="12" borderId="197" xfId="0" applyNumberFormat="1" applyFont="1" applyFill="1" applyBorder="1" applyAlignment="1">
      <alignment horizontal="center" vertical="center" wrapText="1"/>
    </xf>
    <xf numFmtId="0" fontId="10" fillId="12" borderId="198" xfId="0" applyNumberFormat="1" applyFont="1" applyFill="1" applyBorder="1" applyAlignment="1">
      <alignment horizontal="center" vertical="center" wrapText="1"/>
    </xf>
    <xf numFmtId="0" fontId="10" fillId="12" borderId="199" xfId="0" applyNumberFormat="1" applyFont="1" applyFill="1" applyBorder="1" applyAlignment="1">
      <alignment horizontal="center" vertical="center" wrapText="1"/>
    </xf>
    <xf numFmtId="0" fontId="10" fillId="12" borderId="30" xfId="0" applyNumberFormat="1" applyFont="1" applyFill="1" applyBorder="1" applyAlignment="1">
      <alignment horizontal="center" vertical="center" wrapText="1"/>
    </xf>
    <xf numFmtId="0" fontId="10" fillId="12" borderId="27" xfId="0" applyNumberFormat="1" applyFont="1" applyFill="1" applyBorder="1" applyAlignment="1">
      <alignment horizontal="center" vertical="center" wrapText="1"/>
    </xf>
    <xf numFmtId="0" fontId="10" fillId="12" borderId="70" xfId="0" applyNumberFormat="1" applyFont="1" applyFill="1" applyBorder="1" applyAlignment="1">
      <alignment horizontal="center" vertical="center" wrapText="1"/>
    </xf>
    <xf numFmtId="0" fontId="51" fillId="11" borderId="186" xfId="0" applyNumberFormat="1" applyFont="1" applyFill="1" applyBorder="1" applyAlignment="1">
      <alignment horizontal="center" vertical="center" wrapText="1"/>
    </xf>
    <xf numFmtId="0" fontId="51" fillId="11" borderId="0" xfId="0" applyNumberFormat="1" applyFont="1" applyFill="1" applyBorder="1" applyAlignment="1">
      <alignment horizontal="center" vertical="center" wrapText="1"/>
    </xf>
    <xf numFmtId="0" fontId="52" fillId="11" borderId="394" xfId="0" applyNumberFormat="1" applyFont="1" applyFill="1" applyBorder="1" applyAlignment="1">
      <alignment horizontal="center" vertical="center" wrapText="1"/>
    </xf>
    <xf numFmtId="0" fontId="52" fillId="11" borderId="198" xfId="0" applyNumberFormat="1" applyFont="1" applyFill="1" applyBorder="1" applyAlignment="1">
      <alignment horizontal="center" vertical="center" wrapText="1"/>
    </xf>
    <xf numFmtId="0" fontId="10" fillId="12" borderId="185" xfId="0" applyNumberFormat="1" applyFont="1" applyFill="1" applyBorder="1" applyAlignment="1">
      <alignment horizontal="center" vertical="center" wrapText="1"/>
    </xf>
    <xf numFmtId="0" fontId="10" fillId="12" borderId="0" xfId="0" applyNumberFormat="1" applyFont="1" applyFill="1" applyBorder="1" applyAlignment="1">
      <alignment horizontal="center" vertical="center" wrapText="1"/>
    </xf>
    <xf numFmtId="0" fontId="10" fillId="12" borderId="188" xfId="0" applyNumberFormat="1" applyFont="1" applyFill="1" applyBorder="1" applyAlignment="1">
      <alignment horizontal="center" vertical="center" wrapText="1"/>
    </xf>
    <xf numFmtId="0" fontId="52" fillId="11" borderId="46" xfId="0" applyNumberFormat="1" applyFont="1" applyFill="1" applyBorder="1" applyAlignment="1">
      <alignment horizontal="center" vertical="center" wrapText="1"/>
    </xf>
    <xf numFmtId="0" fontId="52" fillId="11" borderId="27" xfId="0" applyNumberFormat="1" applyFont="1" applyFill="1" applyBorder="1" applyAlignment="1">
      <alignment horizontal="center" vertical="center" wrapText="1"/>
    </xf>
    <xf numFmtId="0" fontId="52" fillId="11" borderId="445" xfId="0" applyNumberFormat="1" applyFont="1" applyFill="1" applyBorder="1" applyAlignment="1">
      <alignment horizontal="center" vertical="center" wrapText="1"/>
    </xf>
    <xf numFmtId="0" fontId="52" fillId="11" borderId="40" xfId="0" applyNumberFormat="1" applyFont="1" applyFill="1" applyBorder="1" applyAlignment="1">
      <alignment horizontal="center" vertical="center" wrapText="1"/>
    </xf>
    <xf numFmtId="0" fontId="14" fillId="10" borderId="167" xfId="0" applyNumberFormat="1" applyFont="1" applyFill="1" applyBorder="1" applyAlignment="1" applyProtection="1">
      <alignment horizontal="center" vertical="center" wrapText="1"/>
    </xf>
    <xf numFmtId="0" fontId="14" fillId="10" borderId="168" xfId="0" applyNumberFormat="1" applyFont="1" applyFill="1" applyBorder="1" applyAlignment="1" applyProtection="1">
      <alignment horizontal="center" vertical="center" wrapText="1"/>
    </xf>
    <xf numFmtId="0" fontId="6" fillId="0" borderId="169" xfId="0" applyNumberFormat="1" applyFont="1" applyFill="1" applyBorder="1" applyAlignment="1" applyProtection="1">
      <alignment horizontal="center" vertical="center" wrapText="1"/>
    </xf>
    <xf numFmtId="0" fontId="6" fillId="0" borderId="170" xfId="0" applyNumberFormat="1" applyFont="1" applyFill="1" applyBorder="1" applyAlignment="1" applyProtection="1">
      <alignment horizontal="center" vertical="center" wrapText="1"/>
    </xf>
    <xf numFmtId="0" fontId="6" fillId="0" borderId="171" xfId="0" applyNumberFormat="1" applyFont="1" applyFill="1" applyBorder="1" applyAlignment="1" applyProtection="1">
      <alignment horizontal="center" vertical="center" wrapText="1"/>
    </xf>
    <xf numFmtId="0" fontId="20" fillId="0" borderId="172" xfId="0" applyNumberFormat="1" applyFont="1" applyFill="1" applyBorder="1" applyAlignment="1" applyProtection="1">
      <alignment horizontal="center" vertical="center" wrapText="1"/>
    </xf>
    <xf numFmtId="0" fontId="20" fillId="0" borderId="173" xfId="0" applyNumberFormat="1" applyFont="1" applyFill="1" applyBorder="1" applyAlignment="1" applyProtection="1">
      <alignment horizontal="center" vertical="center" wrapText="1"/>
    </xf>
    <xf numFmtId="0" fontId="20" fillId="0" borderId="174" xfId="0" applyNumberFormat="1" applyFont="1" applyFill="1" applyBorder="1" applyAlignment="1" applyProtection="1">
      <alignment horizontal="center" vertical="center" wrapText="1"/>
    </xf>
    <xf numFmtId="0" fontId="7" fillId="0" borderId="111" xfId="0" applyNumberFormat="1" applyFont="1" applyBorder="1" applyAlignment="1">
      <alignment horizontal="center" vertical="center" wrapText="1"/>
    </xf>
    <xf numFmtId="0" fontId="7" fillId="0" borderId="137" xfId="0" applyNumberFormat="1" applyFont="1" applyBorder="1" applyAlignment="1">
      <alignment horizontal="center" vertical="center" wrapText="1"/>
    </xf>
    <xf numFmtId="0" fontId="1" fillId="0" borderId="176" xfId="0" applyNumberFormat="1" applyFont="1" applyBorder="1" applyAlignment="1">
      <alignment horizontal="center" vertical="center" wrapText="1"/>
    </xf>
    <xf numFmtId="0" fontId="1" fillId="0" borderId="178" xfId="0" applyNumberFormat="1" applyFont="1" applyBorder="1" applyAlignment="1">
      <alignment horizontal="center" vertical="center" wrapText="1"/>
    </xf>
    <xf numFmtId="0" fontId="1" fillId="0" borderId="180" xfId="0" applyNumberFormat="1" applyFont="1" applyBorder="1" applyAlignment="1">
      <alignment horizontal="center" vertical="center" wrapText="1"/>
    </xf>
    <xf numFmtId="0" fontId="13" fillId="0" borderId="137" xfId="0" applyNumberFormat="1" applyFont="1" applyBorder="1" applyAlignment="1">
      <alignment horizontal="center" vertical="center" wrapText="1"/>
    </xf>
    <xf numFmtId="0" fontId="1" fillId="16" borderId="133" xfId="0" applyNumberFormat="1" applyFont="1" applyFill="1" applyBorder="1" applyAlignment="1">
      <alignment horizontal="center" vertical="center" wrapText="1"/>
    </xf>
    <xf numFmtId="0" fontId="1" fillId="16" borderId="110" xfId="0" applyNumberFormat="1" applyFont="1" applyFill="1" applyBorder="1" applyAlignment="1">
      <alignment horizontal="center" vertical="center" wrapText="1"/>
    </xf>
    <xf numFmtId="0" fontId="1" fillId="16" borderId="93" xfId="0" applyNumberFormat="1" applyFont="1" applyFill="1" applyBorder="1" applyAlignment="1">
      <alignment horizontal="center" vertical="center" wrapText="1"/>
    </xf>
    <xf numFmtId="0" fontId="13" fillId="0" borderId="182" xfId="0" applyNumberFormat="1" applyFont="1" applyBorder="1" applyAlignment="1">
      <alignment horizontal="center" vertical="center" wrapText="1"/>
    </xf>
    <xf numFmtId="0" fontId="3" fillId="0" borderId="107" xfId="0" applyNumberFormat="1" applyFont="1" applyBorder="1" applyAlignment="1">
      <alignment horizontal="center" vertical="center" wrapText="1"/>
    </xf>
    <xf numFmtId="0" fontId="3" fillId="0" borderId="108" xfId="0" applyNumberFormat="1" applyFont="1" applyBorder="1" applyAlignment="1">
      <alignment horizontal="center" vertical="center" wrapText="1"/>
    </xf>
    <xf numFmtId="0" fontId="3" fillId="0" borderId="109" xfId="0" applyNumberFormat="1" applyFont="1" applyBorder="1" applyAlignment="1">
      <alignment horizontal="center" vertical="center" wrapText="1"/>
    </xf>
    <xf numFmtId="0" fontId="1" fillId="0" borderId="247" xfId="0" applyNumberFormat="1" applyFont="1" applyBorder="1" applyAlignment="1">
      <alignment horizontal="center" vertical="center" wrapText="1"/>
    </xf>
    <xf numFmtId="0" fontId="1" fillId="0" borderId="248" xfId="0" applyNumberFormat="1" applyFont="1" applyBorder="1" applyAlignment="1">
      <alignment horizontal="center" vertical="center" wrapText="1"/>
    </xf>
    <xf numFmtId="0" fontId="17" fillId="10" borderId="239" xfId="0" applyNumberFormat="1" applyFont="1" applyFill="1" applyBorder="1" applyAlignment="1">
      <alignment horizontal="center" vertical="center" wrapText="1"/>
    </xf>
    <xf numFmtId="0" fontId="14" fillId="10" borderId="164" xfId="0" applyNumberFormat="1" applyFont="1" applyFill="1" applyBorder="1" applyAlignment="1" applyProtection="1">
      <alignment horizontal="center" vertical="center" wrapText="1"/>
    </xf>
    <xf numFmtId="0" fontId="14" fillId="10" borderId="165" xfId="0" applyNumberFormat="1" applyFont="1" applyFill="1" applyBorder="1" applyAlignment="1" applyProtection="1">
      <alignment horizontal="center" vertical="center" wrapText="1"/>
    </xf>
    <xf numFmtId="0" fontId="14" fillId="10" borderId="166" xfId="0" applyNumberFormat="1" applyFont="1" applyFill="1" applyBorder="1" applyAlignment="1" applyProtection="1">
      <alignment horizontal="center" vertical="center" wrapText="1"/>
    </xf>
    <xf numFmtId="0" fontId="1" fillId="15" borderId="205" xfId="0" applyNumberFormat="1" applyFont="1" applyFill="1" applyBorder="1" applyAlignment="1">
      <alignment horizontal="center" vertical="center" wrapText="1"/>
    </xf>
    <xf numFmtId="0" fontId="1" fillId="15" borderId="206" xfId="0" applyNumberFormat="1" applyFont="1" applyFill="1" applyBorder="1" applyAlignment="1">
      <alignment horizontal="center" vertical="center" wrapText="1"/>
    </xf>
    <xf numFmtId="0" fontId="1" fillId="15" borderId="233" xfId="0" applyNumberFormat="1" applyFont="1" applyFill="1" applyBorder="1" applyAlignment="1">
      <alignment horizontal="center" vertical="center" wrapText="1"/>
    </xf>
    <xf numFmtId="0" fontId="1" fillId="3" borderId="228" xfId="0" applyNumberFormat="1" applyFont="1" applyFill="1" applyBorder="1" applyAlignment="1">
      <alignment horizontal="center" vertical="center" shrinkToFit="1"/>
    </xf>
    <xf numFmtId="0" fontId="1" fillId="3" borderId="229" xfId="0" applyNumberFormat="1" applyFont="1" applyFill="1" applyBorder="1" applyAlignment="1">
      <alignment horizontal="center" vertical="center" shrinkToFit="1"/>
    </xf>
    <xf numFmtId="0" fontId="1" fillId="3" borderId="230" xfId="0" applyNumberFormat="1" applyFont="1" applyFill="1" applyBorder="1" applyAlignment="1">
      <alignment horizontal="center" vertical="center" shrinkToFit="1"/>
    </xf>
    <xf numFmtId="177" fontId="1" fillId="0" borderId="175" xfId="0" applyNumberFormat="1" applyFont="1" applyBorder="1" applyAlignment="1">
      <alignment horizontal="center" vertical="center" wrapText="1"/>
    </xf>
    <xf numFmtId="177" fontId="1" fillId="0" borderId="177" xfId="0" applyNumberFormat="1" applyFont="1" applyBorder="1" applyAlignment="1">
      <alignment horizontal="center" vertical="center" wrapText="1"/>
    </xf>
    <xf numFmtId="177" fontId="1" fillId="0" borderId="221" xfId="0" applyNumberFormat="1" applyFont="1" applyBorder="1" applyAlignment="1">
      <alignment horizontal="center" vertical="center" wrapText="1"/>
    </xf>
    <xf numFmtId="0" fontId="32" fillId="0" borderId="266" xfId="0" applyNumberFormat="1" applyFont="1" applyFill="1" applyBorder="1" applyAlignment="1" applyProtection="1">
      <alignment horizontal="center" vertical="center"/>
    </xf>
    <xf numFmtId="0" fontId="32" fillId="0" borderId="201" xfId="0" applyNumberFormat="1" applyFont="1" applyFill="1" applyBorder="1" applyAlignment="1" applyProtection="1">
      <alignment horizontal="center" vertical="center"/>
    </xf>
    <xf numFmtId="0" fontId="32" fillId="0" borderId="44" xfId="0" applyNumberFormat="1" applyFont="1" applyFill="1" applyBorder="1" applyAlignment="1" applyProtection="1">
      <alignment horizontal="center" vertical="center"/>
    </xf>
    <xf numFmtId="0" fontId="52" fillId="11" borderId="446" xfId="0" applyNumberFormat="1" applyFont="1" applyFill="1" applyBorder="1" applyAlignment="1" applyProtection="1">
      <alignment horizontal="center" vertical="center" wrapText="1"/>
    </xf>
    <xf numFmtId="0" fontId="52" fillId="11" borderId="447" xfId="0" applyNumberFormat="1" applyFont="1" applyFill="1" applyBorder="1" applyAlignment="1" applyProtection="1">
      <alignment horizontal="center" vertical="center" wrapText="1"/>
    </xf>
    <xf numFmtId="0" fontId="52" fillId="11" borderId="448" xfId="0" applyNumberFormat="1" applyFont="1" applyFill="1" applyBorder="1" applyAlignment="1" applyProtection="1">
      <alignment horizontal="center" vertical="center" wrapText="1"/>
    </xf>
    <xf numFmtId="0" fontId="3" fillId="0" borderId="409" xfId="0" applyNumberFormat="1" applyFont="1" applyFill="1" applyBorder="1" applyAlignment="1">
      <alignment horizontal="center" vertical="center" wrapText="1"/>
    </xf>
    <xf numFmtId="0" fontId="3" fillId="0" borderId="411" xfId="0" applyNumberFormat="1" applyFont="1" applyFill="1" applyBorder="1" applyAlignment="1">
      <alignment horizontal="center" vertical="center" wrapText="1"/>
    </xf>
    <xf numFmtId="0" fontId="1" fillId="13" borderId="415" xfId="0" applyNumberFormat="1" applyFont="1" applyFill="1" applyBorder="1" applyAlignment="1">
      <alignment horizontal="center" vertical="center" wrapText="1"/>
    </xf>
    <xf numFmtId="0" fontId="1" fillId="13" borderId="162" xfId="0" applyNumberFormat="1" applyFont="1" applyFill="1" applyBorder="1" applyAlignment="1">
      <alignment horizontal="center" vertical="center" wrapText="1"/>
    </xf>
    <xf numFmtId="0" fontId="1" fillId="13" borderId="234" xfId="0" applyNumberFormat="1" applyFont="1" applyFill="1" applyBorder="1" applyAlignment="1">
      <alignment horizontal="center" vertical="center" wrapText="1"/>
    </xf>
    <xf numFmtId="0" fontId="1" fillId="9" borderId="410" xfId="0" applyNumberFormat="1" applyFont="1" applyFill="1" applyBorder="1" applyAlignment="1">
      <alignment horizontal="center" vertical="center" wrapText="1"/>
    </xf>
    <xf numFmtId="0" fontId="1" fillId="9" borderId="159" xfId="0" applyNumberFormat="1" applyFont="1" applyFill="1" applyBorder="1" applyAlignment="1">
      <alignment horizontal="center" vertical="center" wrapText="1"/>
    </xf>
    <xf numFmtId="0" fontId="1" fillId="9" borderId="72" xfId="0" applyNumberFormat="1" applyFont="1" applyFill="1" applyBorder="1" applyAlignment="1">
      <alignment horizontal="center" vertical="center" wrapText="1"/>
    </xf>
    <xf numFmtId="0" fontId="3" fillId="0" borderId="133" xfId="0" applyNumberFormat="1" applyFont="1" applyBorder="1" applyAlignment="1">
      <alignment horizontal="center" vertical="center" wrapText="1"/>
    </xf>
    <xf numFmtId="0" fontId="1" fillId="9" borderId="424" xfId="0" applyNumberFormat="1" applyFont="1" applyFill="1" applyBorder="1" applyAlignment="1">
      <alignment horizontal="center" vertical="center" wrapText="1"/>
    </xf>
    <xf numFmtId="0" fontId="1" fillId="9" borderId="206" xfId="0" applyNumberFormat="1" applyFont="1" applyFill="1" applyBorder="1" applyAlignment="1">
      <alignment horizontal="center" vertical="center" wrapText="1"/>
    </xf>
    <xf numFmtId="0" fontId="1" fillId="9" borderId="233" xfId="0" applyNumberFormat="1" applyFont="1" applyFill="1" applyBorder="1" applyAlignment="1">
      <alignment horizontal="center" vertical="center" wrapText="1"/>
    </xf>
    <xf numFmtId="177" fontId="1" fillId="0" borderId="158" xfId="0" applyNumberFormat="1" applyFont="1" applyFill="1" applyBorder="1" applyAlignment="1">
      <alignment horizontal="center" vertical="center" wrapText="1"/>
    </xf>
    <xf numFmtId="177" fontId="1" fillId="0" borderId="159" xfId="0" applyNumberFormat="1" applyFont="1" applyFill="1" applyBorder="1" applyAlignment="1">
      <alignment horizontal="center" vertical="center" wrapText="1"/>
    </xf>
    <xf numFmtId="177" fontId="1" fillId="0" borderId="72" xfId="0" applyNumberFormat="1" applyFont="1" applyFill="1" applyBorder="1" applyAlignment="1">
      <alignment horizontal="center" vertical="center" wrapText="1"/>
    </xf>
    <xf numFmtId="177" fontId="1" fillId="15" borderId="158" xfId="0" applyNumberFormat="1" applyFont="1" applyFill="1" applyBorder="1" applyAlignment="1">
      <alignment horizontal="center" vertical="center" wrapText="1"/>
    </xf>
    <xf numFmtId="177" fontId="1" fillId="15" borderId="159" xfId="0" applyNumberFormat="1" applyFont="1" applyFill="1" applyBorder="1" applyAlignment="1">
      <alignment horizontal="center" vertical="center" wrapText="1"/>
    </xf>
    <xf numFmtId="177" fontId="1" fillId="15" borderId="72" xfId="0" applyNumberFormat="1" applyFont="1" applyFill="1" applyBorder="1" applyAlignment="1">
      <alignment horizontal="center" vertical="center" wrapText="1"/>
    </xf>
    <xf numFmtId="0" fontId="18" fillId="0" borderId="111" xfId="0" applyNumberFormat="1" applyFont="1" applyFill="1" applyBorder="1" applyAlignment="1">
      <alignment horizontal="center" vertical="center" wrapText="1"/>
    </xf>
    <xf numFmtId="0" fontId="18" fillId="0" borderId="112" xfId="0" applyNumberFormat="1" applyFont="1" applyFill="1" applyBorder="1" applyAlignment="1">
      <alignment horizontal="center" vertical="center" wrapText="1"/>
    </xf>
    <xf numFmtId="177" fontId="1" fillId="13" borderId="158" xfId="0" applyNumberFormat="1" applyFont="1" applyFill="1" applyBorder="1" applyAlignment="1">
      <alignment horizontal="center" vertical="center" wrapText="1"/>
    </xf>
    <xf numFmtId="177" fontId="1" fillId="13" borderId="159" xfId="0" applyNumberFormat="1" applyFont="1" applyFill="1" applyBorder="1" applyAlignment="1">
      <alignment horizontal="center" vertical="center" wrapText="1"/>
    </xf>
    <xf numFmtId="177" fontId="1" fillId="13" borderId="72" xfId="0" applyNumberFormat="1" applyFont="1" applyFill="1" applyBorder="1" applyAlignment="1">
      <alignment horizontal="center" vertical="center" wrapText="1"/>
    </xf>
    <xf numFmtId="0" fontId="3" fillId="0" borderId="222" xfId="0" applyNumberFormat="1" applyFont="1" applyBorder="1" applyAlignment="1">
      <alignment horizontal="center" vertical="center" wrapText="1"/>
    </xf>
    <xf numFmtId="0" fontId="3" fillId="0" borderId="223" xfId="0" applyNumberFormat="1" applyFont="1" applyBorder="1" applyAlignment="1">
      <alignment horizontal="center" vertical="center" wrapText="1"/>
    </xf>
    <xf numFmtId="0" fontId="3" fillId="3" borderId="133" xfId="0" applyNumberFormat="1" applyFont="1" applyFill="1" applyBorder="1" applyAlignment="1">
      <alignment horizontal="center" vertical="center" wrapText="1"/>
    </xf>
    <xf numFmtId="0" fontId="3" fillId="3" borderId="156" xfId="0" applyNumberFormat="1" applyFont="1" applyFill="1" applyBorder="1" applyAlignment="1">
      <alignment horizontal="center" vertical="center" wrapText="1"/>
    </xf>
    <xf numFmtId="0" fontId="3" fillId="3" borderId="157" xfId="0" applyNumberFormat="1" applyFont="1" applyFill="1" applyBorder="1" applyAlignment="1">
      <alignment horizontal="center" vertical="center" wrapText="1"/>
    </xf>
    <xf numFmtId="0" fontId="3" fillId="4" borderId="134" xfId="0" applyNumberFormat="1" applyFont="1" applyFill="1" applyBorder="1" applyAlignment="1">
      <alignment horizontal="center" vertical="center" wrapText="1"/>
    </xf>
    <xf numFmtId="0" fontId="3" fillId="4" borderId="135" xfId="0" applyNumberFormat="1" applyFont="1" applyFill="1" applyBorder="1" applyAlignment="1">
      <alignment horizontal="center" vertical="center" wrapText="1"/>
    </xf>
    <xf numFmtId="0" fontId="3" fillId="4" borderId="136" xfId="0" applyNumberFormat="1" applyFont="1" applyFill="1" applyBorder="1" applyAlignment="1">
      <alignment horizontal="center" vertical="center" wrapText="1"/>
    </xf>
    <xf numFmtId="0" fontId="13" fillId="4" borderId="222" xfId="0" applyNumberFormat="1" applyFont="1" applyFill="1" applyBorder="1" applyAlignment="1">
      <alignment horizontal="center" vertical="center" wrapText="1"/>
    </xf>
    <xf numFmtId="0" fontId="13" fillId="4" borderId="134" xfId="0" applyNumberFormat="1" applyFont="1" applyFill="1" applyBorder="1" applyAlignment="1">
      <alignment horizontal="center" vertical="center" wrapText="1"/>
    </xf>
    <xf numFmtId="0" fontId="1" fillId="7" borderId="327" xfId="0" applyNumberFormat="1" applyFont="1" applyFill="1" applyBorder="1" applyAlignment="1">
      <alignment horizontal="center" vertical="center" wrapText="1"/>
    </xf>
    <xf numFmtId="0" fontId="61" fillId="5" borderId="231" xfId="0" applyNumberFormat="1" applyFont="1" applyFill="1" applyBorder="1" applyAlignment="1">
      <alignment horizontal="center" vertical="center" wrapText="1"/>
    </xf>
    <xf numFmtId="0" fontId="61" fillId="5" borderId="173" xfId="0" applyNumberFormat="1" applyFont="1" applyFill="1" applyBorder="1" applyAlignment="1">
      <alignment horizontal="center" vertical="center" wrapText="1"/>
    </xf>
    <xf numFmtId="0" fontId="61" fillId="5" borderId="174" xfId="0" applyNumberFormat="1" applyFont="1" applyFill="1" applyBorder="1" applyAlignment="1">
      <alignment horizontal="center" vertical="center" wrapText="1"/>
    </xf>
    <xf numFmtId="0" fontId="60" fillId="5" borderId="325" xfId="0" applyNumberFormat="1" applyFont="1" applyFill="1" applyBorder="1" applyAlignment="1">
      <alignment horizontal="center" vertical="center" wrapText="1"/>
    </xf>
    <xf numFmtId="0" fontId="60" fillId="5" borderId="170" xfId="0" applyNumberFormat="1" applyFont="1" applyFill="1" applyBorder="1" applyAlignment="1">
      <alignment horizontal="center" vertical="center" wrapText="1"/>
    </xf>
    <xf numFmtId="0" fontId="60" fillId="5" borderId="171" xfId="0" applyNumberFormat="1" applyFont="1" applyFill="1" applyBorder="1" applyAlignment="1">
      <alignment horizontal="center" vertical="center" wrapText="1"/>
    </xf>
    <xf numFmtId="0" fontId="61" fillId="7" borderId="326" xfId="0" applyNumberFormat="1" applyFont="1" applyFill="1" applyBorder="1" applyAlignment="1">
      <alignment horizontal="center" vertical="center" wrapText="1"/>
    </xf>
    <xf numFmtId="0" fontId="61" fillId="7" borderId="294" xfId="0" applyNumberFormat="1" applyFont="1" applyFill="1" applyBorder="1" applyAlignment="1">
      <alignment horizontal="center" vertical="center" wrapText="1"/>
    </xf>
    <xf numFmtId="0" fontId="61" fillId="7" borderId="295" xfId="0" applyNumberFormat="1" applyFont="1" applyFill="1" applyBorder="1" applyAlignment="1">
      <alignment horizontal="center" vertical="center" wrapText="1"/>
    </xf>
    <xf numFmtId="0" fontId="1" fillId="3" borderId="162" xfId="0" quotePrefix="1" applyNumberFormat="1" applyFont="1" applyFill="1" applyBorder="1" applyAlignment="1">
      <alignment horizontal="center" vertical="center" wrapText="1"/>
    </xf>
    <xf numFmtId="0" fontId="1" fillId="3" borderId="237" xfId="0" applyNumberFormat="1" applyFont="1" applyFill="1" applyBorder="1" applyAlignment="1">
      <alignment horizontal="center" vertical="center" wrapText="1"/>
    </xf>
    <xf numFmtId="0" fontId="66" fillId="0" borderId="265" xfId="0" applyNumberFormat="1" applyFont="1" applyFill="1" applyBorder="1" applyAlignment="1" applyProtection="1">
      <alignment horizontal="center" vertical="center" shrinkToFit="1"/>
    </xf>
    <xf numFmtId="0" fontId="66" fillId="0" borderId="138" xfId="0" applyNumberFormat="1" applyFont="1" applyFill="1" applyBorder="1" applyAlignment="1" applyProtection="1">
      <alignment horizontal="center" vertical="center" shrinkToFit="1"/>
    </xf>
    <xf numFmtId="0" fontId="66" fillId="0" borderId="139" xfId="0" applyNumberFormat="1" applyFont="1" applyFill="1" applyBorder="1" applyAlignment="1" applyProtection="1">
      <alignment horizontal="center" vertical="center" shrinkToFit="1"/>
    </xf>
    <xf numFmtId="0" fontId="1" fillId="15" borderId="421" xfId="0" applyNumberFormat="1" applyFont="1" applyFill="1" applyBorder="1" applyAlignment="1" applyProtection="1">
      <alignment horizontal="center" vertical="center" wrapText="1"/>
    </xf>
    <xf numFmtId="0" fontId="1" fillId="15" borderId="422" xfId="0" applyNumberFormat="1" applyFont="1" applyFill="1" applyBorder="1" applyAlignment="1" applyProtection="1">
      <alignment horizontal="center" vertical="center" wrapText="1"/>
    </xf>
    <xf numFmtId="0" fontId="1" fillId="15" borderId="423" xfId="0" applyNumberFormat="1" applyFont="1" applyFill="1" applyBorder="1" applyAlignment="1" applyProtection="1">
      <alignment horizontal="center" vertical="center" wrapText="1"/>
    </xf>
    <xf numFmtId="0" fontId="58" fillId="15" borderId="254" xfId="0" applyNumberFormat="1" applyFont="1" applyFill="1" applyBorder="1" applyAlignment="1" applyProtection="1">
      <alignment horizontal="center" vertical="center" wrapText="1"/>
    </xf>
    <xf numFmtId="0" fontId="58" fillId="15" borderId="255" xfId="0" applyNumberFormat="1" applyFont="1" applyFill="1" applyBorder="1" applyAlignment="1" applyProtection="1">
      <alignment horizontal="center" vertical="center" wrapText="1"/>
    </xf>
    <xf numFmtId="0" fontId="58" fillId="15" borderId="256" xfId="0" applyNumberFormat="1" applyFont="1" applyFill="1" applyBorder="1" applyAlignment="1" applyProtection="1">
      <alignment horizontal="center" vertical="center" wrapText="1"/>
    </xf>
    <xf numFmtId="0" fontId="31" fillId="4" borderId="265" xfId="0" applyNumberFormat="1" applyFont="1" applyFill="1" applyBorder="1" applyAlignment="1">
      <alignment horizontal="center" vertical="center" shrinkToFit="1"/>
    </xf>
    <xf numFmtId="0" fontId="31" fillId="4" borderId="138" xfId="0" applyNumberFormat="1" applyFont="1" applyFill="1" applyBorder="1" applyAlignment="1">
      <alignment horizontal="center" vertical="center" shrinkToFit="1"/>
    </xf>
    <xf numFmtId="0" fontId="31" fillId="4" borderId="139" xfId="0" applyNumberFormat="1" applyFont="1" applyFill="1" applyBorder="1" applyAlignment="1">
      <alignment horizontal="center" vertical="center" shrinkToFit="1"/>
    </xf>
    <xf numFmtId="0" fontId="3" fillId="0" borderId="138" xfId="0" applyNumberFormat="1" applyFont="1" applyFill="1" applyBorder="1" applyAlignment="1">
      <alignment horizontal="center" vertical="center" wrapText="1"/>
    </xf>
    <xf numFmtId="0" fontId="3" fillId="0" borderId="139" xfId="0" applyNumberFormat="1" applyFont="1" applyFill="1" applyBorder="1" applyAlignment="1">
      <alignment horizontal="center" vertical="center" wrapText="1"/>
    </xf>
    <xf numFmtId="0" fontId="1" fillId="0" borderId="246" xfId="0" applyNumberFormat="1" applyFont="1" applyBorder="1" applyAlignment="1">
      <alignment horizontal="center" vertical="center" wrapText="1"/>
    </xf>
    <xf numFmtId="0" fontId="1" fillId="0" borderId="162" xfId="0" applyNumberFormat="1" applyFont="1" applyBorder="1" applyAlignment="1">
      <alignment horizontal="center" vertical="center" wrapText="1"/>
    </xf>
    <xf numFmtId="0" fontId="1" fillId="0" borderId="234" xfId="0" applyNumberFormat="1" applyFont="1" applyBorder="1" applyAlignment="1">
      <alignment horizontal="center" vertical="center" wrapText="1"/>
    </xf>
    <xf numFmtId="0" fontId="1" fillId="15" borderId="215" xfId="0" applyNumberFormat="1" applyFont="1" applyFill="1" applyBorder="1" applyAlignment="1">
      <alignment horizontal="center" vertical="center" wrapText="1"/>
    </xf>
    <xf numFmtId="0" fontId="1" fillId="15" borderId="162" xfId="0" applyNumberFormat="1" applyFont="1" applyFill="1" applyBorder="1" applyAlignment="1">
      <alignment horizontal="center" vertical="center" wrapText="1"/>
    </xf>
    <xf numFmtId="0" fontId="1" fillId="15" borderId="163" xfId="0" applyNumberFormat="1" applyFont="1" applyFill="1" applyBorder="1" applyAlignment="1">
      <alignment horizontal="center" vertical="center" wrapText="1"/>
    </xf>
    <xf numFmtId="0" fontId="1" fillId="0" borderId="414" xfId="0" applyNumberFormat="1" applyFont="1" applyFill="1" applyBorder="1" applyAlignment="1">
      <alignment horizontal="center" vertical="center" wrapText="1"/>
    </xf>
    <xf numFmtId="0" fontId="1" fillId="0" borderId="420" xfId="0" applyNumberFormat="1" applyFont="1" applyFill="1" applyBorder="1" applyAlignment="1">
      <alignment horizontal="center" vertical="center" wrapText="1"/>
    </xf>
    <xf numFmtId="0" fontId="1" fillId="0" borderId="207" xfId="0" applyNumberFormat="1" applyFont="1" applyFill="1" applyBorder="1" applyAlignment="1">
      <alignment horizontal="center" vertical="center" wrapText="1"/>
    </xf>
    <xf numFmtId="0" fontId="1" fillId="15" borderId="232" xfId="0" applyNumberFormat="1" applyFont="1" applyFill="1" applyBorder="1" applyAlignment="1">
      <alignment horizontal="center" vertical="center" wrapText="1"/>
    </xf>
    <xf numFmtId="0" fontId="1" fillId="15" borderId="207" xfId="0" applyNumberFormat="1" applyFont="1" applyFill="1" applyBorder="1" applyAlignment="1">
      <alignment horizontal="center" vertical="center" wrapText="1"/>
    </xf>
    <xf numFmtId="0" fontId="1" fillId="0" borderId="257" xfId="0" applyNumberFormat="1" applyFont="1" applyBorder="1" applyAlignment="1">
      <alignment horizontal="center" vertical="center" wrapText="1"/>
    </xf>
    <xf numFmtId="0" fontId="1" fillId="0" borderId="258" xfId="0" applyNumberFormat="1" applyFont="1" applyBorder="1" applyAlignment="1">
      <alignment horizontal="center" vertical="center" wrapText="1"/>
    </xf>
    <xf numFmtId="0" fontId="3" fillId="0" borderId="134" xfId="0" applyNumberFormat="1" applyFont="1" applyBorder="1" applyAlignment="1">
      <alignment horizontal="center" vertical="center" wrapText="1"/>
    </xf>
    <xf numFmtId="0" fontId="1" fillId="16" borderId="158" xfId="0" applyNumberFormat="1" applyFont="1" applyFill="1" applyBorder="1" applyAlignment="1">
      <alignment horizontal="center" vertical="center" wrapText="1"/>
    </xf>
    <xf numFmtId="0" fontId="1" fillId="16" borderId="159" xfId="0" applyNumberFormat="1" applyFont="1" applyFill="1" applyBorder="1" applyAlignment="1">
      <alignment horizontal="center" vertical="center" wrapText="1"/>
    </xf>
    <xf numFmtId="0" fontId="1" fillId="16" borderId="181" xfId="0" applyNumberFormat="1" applyFont="1" applyFill="1" applyBorder="1" applyAlignment="1">
      <alignment horizontal="center" vertical="center" wrapText="1"/>
    </xf>
    <xf numFmtId="0" fontId="3" fillId="0" borderId="137" xfId="0" applyNumberFormat="1" applyFont="1" applyBorder="1" applyAlignment="1">
      <alignment horizontal="center" vertical="center" wrapText="1"/>
    </xf>
    <xf numFmtId="0" fontId="1" fillId="0" borderId="433" xfId="0" applyNumberFormat="1" applyFont="1" applyFill="1" applyBorder="1" applyAlignment="1" applyProtection="1">
      <alignment horizontal="center" vertical="center" shrinkToFit="1"/>
    </xf>
    <xf numFmtId="0" fontId="1" fillId="0" borderId="434" xfId="0" applyNumberFormat="1" applyFont="1" applyFill="1" applyBorder="1" applyAlignment="1" applyProtection="1">
      <alignment horizontal="center" vertical="center" shrinkToFit="1"/>
    </xf>
    <xf numFmtId="0" fontId="1" fillId="0" borderId="435" xfId="0" applyNumberFormat="1" applyFont="1" applyFill="1" applyBorder="1" applyAlignment="1" applyProtection="1">
      <alignment horizontal="center" vertical="center" shrinkToFit="1"/>
    </xf>
    <xf numFmtId="0" fontId="5" fillId="0" borderId="308" xfId="0" applyNumberFormat="1" applyFont="1" applyFill="1" applyBorder="1" applyAlignment="1" applyProtection="1">
      <alignment horizontal="center" vertical="center" wrapText="1"/>
    </xf>
    <xf numFmtId="0" fontId="5" fillId="0" borderId="243" xfId="0" applyNumberFormat="1" applyFont="1" applyFill="1" applyBorder="1" applyAlignment="1" applyProtection="1">
      <alignment horizontal="center" vertical="center" wrapText="1"/>
    </xf>
    <xf numFmtId="0" fontId="5" fillId="0" borderId="244" xfId="0" applyNumberFormat="1" applyFont="1" applyFill="1" applyBorder="1" applyAlignment="1" applyProtection="1">
      <alignment horizontal="center" vertical="center" wrapText="1"/>
    </xf>
    <xf numFmtId="0" fontId="7" fillId="0" borderId="291" xfId="0" applyNumberFormat="1" applyFont="1" applyFill="1" applyBorder="1" applyAlignment="1">
      <alignment horizontal="center" vertical="center" wrapText="1"/>
    </xf>
    <xf numFmtId="0" fontId="7" fillId="0" borderId="292" xfId="0" applyNumberFormat="1" applyFont="1" applyFill="1" applyBorder="1" applyAlignment="1">
      <alignment horizontal="center" vertical="center" wrapText="1"/>
    </xf>
    <xf numFmtId="0" fontId="1" fillId="0" borderId="415" xfId="0" applyNumberFormat="1" applyFont="1" applyFill="1" applyBorder="1" applyAlignment="1">
      <alignment horizontal="center" vertical="center" wrapText="1"/>
    </xf>
    <xf numFmtId="0" fontId="1" fillId="0" borderId="163" xfId="0" applyNumberFormat="1" applyFont="1" applyFill="1" applyBorder="1" applyAlignment="1">
      <alignment horizontal="center" vertical="center" wrapText="1"/>
    </xf>
    <xf numFmtId="0" fontId="3" fillId="0" borderId="416" xfId="0" applyNumberFormat="1" applyFont="1" applyFill="1" applyBorder="1" applyAlignment="1">
      <alignment horizontal="center" vertical="center" wrapText="1"/>
    </xf>
    <xf numFmtId="0" fontId="0" fillId="0" borderId="265" xfId="0" applyNumberFormat="1" applyFont="1" applyFill="1" applyBorder="1" applyAlignment="1" applyProtection="1">
      <alignment horizontal="center" vertical="center"/>
    </xf>
    <xf numFmtId="0" fontId="59" fillId="15" borderId="265" xfId="0" applyNumberFormat="1" applyFont="1" applyFill="1" applyBorder="1" applyAlignment="1">
      <alignment horizontal="center" vertical="center" shrinkToFit="1"/>
    </xf>
    <xf numFmtId="0" fontId="59" fillId="15" borderId="138" xfId="0" applyNumberFormat="1" applyFont="1" applyFill="1" applyBorder="1" applyAlignment="1">
      <alignment horizontal="center" vertical="center" shrinkToFit="1"/>
    </xf>
    <xf numFmtId="0" fontId="59" fillId="15" borderId="139" xfId="0" applyNumberFormat="1" applyFont="1" applyFill="1" applyBorder="1" applyAlignment="1">
      <alignment horizontal="center" vertical="center" shrinkToFit="1"/>
    </xf>
    <xf numFmtId="0" fontId="3" fillId="0" borderId="413" xfId="0" applyNumberFormat="1" applyFont="1" applyFill="1" applyBorder="1" applyAlignment="1" applyProtection="1">
      <alignment horizontal="center" vertical="center" wrapText="1"/>
    </xf>
    <xf numFmtId="0" fontId="3" fillId="0" borderId="74" xfId="0" applyNumberFormat="1" applyFont="1" applyFill="1" applyBorder="1" applyAlignment="1" applyProtection="1">
      <alignment horizontal="center" vertical="center" wrapText="1"/>
    </xf>
    <xf numFmtId="0" fontId="3" fillId="0" borderId="75" xfId="0" applyNumberFormat="1" applyFont="1" applyFill="1" applyBorder="1" applyAlignment="1" applyProtection="1">
      <alignment horizontal="center" vertical="center" wrapText="1"/>
    </xf>
    <xf numFmtId="0" fontId="57" fillId="15" borderId="238" xfId="0" applyNumberFormat="1" applyFont="1" applyFill="1" applyBorder="1" applyAlignment="1" applyProtection="1">
      <alignment horizontal="center" vertical="center" wrapText="1"/>
    </xf>
    <xf numFmtId="0" fontId="57" fillId="15" borderId="135" xfId="0" applyNumberFormat="1" applyFont="1" applyFill="1" applyBorder="1" applyAlignment="1" applyProtection="1">
      <alignment horizontal="center" vertical="center" wrapText="1"/>
    </xf>
    <xf numFmtId="0" fontId="57" fillId="15" borderId="136" xfId="0" applyNumberFormat="1" applyFont="1" applyFill="1" applyBorder="1" applyAlignment="1" applyProtection="1">
      <alignment horizontal="center" vertical="center" wrapText="1"/>
    </xf>
    <xf numFmtId="0" fontId="45" fillId="0" borderId="333" xfId="0" applyNumberFormat="1" applyFont="1" applyFill="1" applyBorder="1" applyAlignment="1" applyProtection="1">
      <alignment horizontal="center" vertical="center" wrapText="1" shrinkToFit="1"/>
    </xf>
    <xf numFmtId="0" fontId="45" fillId="0" borderId="320" xfId="0" applyNumberFormat="1" applyFont="1" applyFill="1" applyBorder="1" applyAlignment="1" applyProtection="1">
      <alignment horizontal="center" vertical="center" wrapText="1" shrinkToFit="1"/>
    </xf>
    <xf numFmtId="0" fontId="45" fillId="0" borderId="213" xfId="0" applyNumberFormat="1" applyFont="1" applyFill="1" applyBorder="1" applyAlignment="1" applyProtection="1">
      <alignment horizontal="center" vertical="center" wrapText="1" shrinkToFit="1"/>
    </xf>
    <xf numFmtId="0" fontId="45" fillId="0" borderId="102" xfId="0" applyNumberFormat="1" applyFont="1" applyFill="1" applyBorder="1" applyAlignment="1" applyProtection="1">
      <alignment horizontal="center" vertical="center" wrapText="1" shrinkToFit="1"/>
    </xf>
    <xf numFmtId="0" fontId="45" fillId="0" borderId="0" xfId="0" applyNumberFormat="1" applyFont="1" applyFill="1" applyBorder="1" applyAlignment="1" applyProtection="1">
      <alignment horizontal="center" vertical="center" wrapText="1" shrinkToFit="1"/>
    </xf>
    <xf numFmtId="0" fontId="45" fillId="0" borderId="40" xfId="0" applyNumberFormat="1" applyFont="1" applyFill="1" applyBorder="1" applyAlignment="1" applyProtection="1">
      <alignment horizontal="center" vertical="center" wrapText="1" shrinkToFit="1"/>
    </xf>
    <xf numFmtId="0" fontId="45" fillId="0" borderId="308" xfId="0" applyNumberFormat="1" applyFont="1" applyFill="1" applyBorder="1" applyAlignment="1" applyProtection="1">
      <alignment horizontal="center" vertical="center" wrapText="1" shrinkToFit="1"/>
    </xf>
    <xf numFmtId="0" fontId="45" fillId="0" borderId="243" xfId="0" applyNumberFormat="1" applyFont="1" applyFill="1" applyBorder="1" applyAlignment="1" applyProtection="1">
      <alignment horizontal="center" vertical="center" wrapText="1" shrinkToFit="1"/>
    </xf>
    <xf numFmtId="0" fontId="45" fillId="0" borderId="244" xfId="0" applyNumberFormat="1" applyFont="1" applyFill="1" applyBorder="1" applyAlignment="1" applyProtection="1">
      <alignment horizontal="center" vertical="center" wrapText="1" shrinkToFit="1"/>
    </xf>
    <xf numFmtId="0" fontId="66" fillId="0" borderId="333" xfId="0" applyNumberFormat="1" applyFont="1" applyFill="1" applyBorder="1" applyAlignment="1" applyProtection="1">
      <alignment horizontal="center" vertical="center" wrapText="1"/>
    </xf>
    <xf numFmtId="0" fontId="66" fillId="0" borderId="320" xfId="0" applyNumberFormat="1" applyFont="1" applyFill="1" applyBorder="1" applyAlignment="1" applyProtection="1">
      <alignment horizontal="center" vertical="center" wrapText="1"/>
    </xf>
    <xf numFmtId="0" fontId="66" fillId="0" borderId="213" xfId="0" applyNumberFormat="1" applyFont="1" applyFill="1" applyBorder="1" applyAlignment="1" applyProtection="1">
      <alignment horizontal="center" vertical="center" wrapText="1"/>
    </xf>
    <xf numFmtId="0" fontId="66" fillId="0" borderId="102" xfId="0" applyNumberFormat="1" applyFont="1" applyFill="1" applyBorder="1" applyAlignment="1" applyProtection="1">
      <alignment horizontal="center" vertical="center" wrapText="1"/>
    </xf>
    <xf numFmtId="0" fontId="66" fillId="0" borderId="0" xfId="0" applyNumberFormat="1" applyFont="1" applyFill="1" applyBorder="1" applyAlignment="1" applyProtection="1">
      <alignment horizontal="center" vertical="center" wrapText="1"/>
    </xf>
    <xf numFmtId="0" fontId="66" fillId="0" borderId="40" xfId="0" applyNumberFormat="1" applyFont="1" applyFill="1" applyBorder="1" applyAlignment="1" applyProtection="1">
      <alignment horizontal="center" vertical="center" wrapText="1"/>
    </xf>
    <xf numFmtId="0" fontId="66" fillId="0" borderId="308" xfId="0" applyNumberFormat="1" applyFont="1" applyFill="1" applyBorder="1" applyAlignment="1" applyProtection="1">
      <alignment horizontal="center" vertical="center" wrapText="1"/>
    </xf>
    <xf numFmtId="0" fontId="66" fillId="0" borderId="243" xfId="0" applyNumberFormat="1" applyFont="1" applyFill="1" applyBorder="1" applyAlignment="1" applyProtection="1">
      <alignment horizontal="center" vertical="center" wrapText="1"/>
    </xf>
    <xf numFmtId="0" fontId="66" fillId="0" borderId="244" xfId="0" applyNumberFormat="1" applyFont="1" applyFill="1" applyBorder="1" applyAlignment="1" applyProtection="1">
      <alignment horizontal="center" vertical="center" wrapText="1"/>
    </xf>
    <xf numFmtId="0" fontId="7" fillId="0" borderId="333" xfId="0" applyNumberFormat="1" applyFont="1" applyFill="1" applyBorder="1" applyAlignment="1" applyProtection="1">
      <alignment horizontal="center" vertical="center" wrapText="1"/>
    </xf>
    <xf numFmtId="0" fontId="7" fillId="0" borderId="320" xfId="0" applyNumberFormat="1" applyFont="1" applyFill="1" applyBorder="1" applyAlignment="1" applyProtection="1">
      <alignment horizontal="center" vertical="center" wrapText="1"/>
    </xf>
    <xf numFmtId="0" fontId="7" fillId="0" borderId="213" xfId="0" applyNumberFormat="1" applyFont="1" applyFill="1" applyBorder="1" applyAlignment="1" applyProtection="1">
      <alignment horizontal="center" vertical="center" wrapText="1"/>
    </xf>
    <xf numFmtId="0" fontId="7" fillId="0" borderId="308" xfId="0" applyNumberFormat="1" applyFont="1" applyFill="1" applyBorder="1" applyAlignment="1" applyProtection="1">
      <alignment horizontal="center" vertical="center" wrapText="1"/>
    </xf>
    <xf numFmtId="0" fontId="7" fillId="0" borderId="243" xfId="0" applyNumberFormat="1" applyFont="1" applyFill="1" applyBorder="1" applyAlignment="1" applyProtection="1">
      <alignment horizontal="center" vertical="center" wrapText="1"/>
    </xf>
    <xf numFmtId="0" fontId="7" fillId="0" borderId="244" xfId="0" applyNumberFormat="1" applyFont="1" applyFill="1" applyBorder="1" applyAlignment="1" applyProtection="1">
      <alignment horizontal="center" vertical="center" wrapText="1"/>
    </xf>
    <xf numFmtId="0" fontId="9" fillId="0" borderId="325" xfId="0" applyNumberFormat="1" applyFont="1" applyBorder="1" applyAlignment="1">
      <alignment horizontal="center" vertical="center" shrinkToFit="1"/>
    </xf>
    <xf numFmtId="0" fontId="9" fillId="0" borderId="170" xfId="0" applyNumberFormat="1" applyFont="1" applyBorder="1" applyAlignment="1">
      <alignment horizontal="center" vertical="center" shrinkToFit="1"/>
    </xf>
    <xf numFmtId="0" fontId="9" fillId="0" borderId="171" xfId="0" applyNumberFormat="1" applyFont="1" applyBorder="1" applyAlignment="1">
      <alignment horizontal="center" vertical="center" shrinkToFit="1"/>
    </xf>
    <xf numFmtId="0" fontId="3" fillId="3" borderId="143" xfId="0" applyNumberFormat="1" applyFont="1" applyFill="1" applyBorder="1" applyAlignment="1">
      <alignment horizontal="center" vertical="center" wrapText="1"/>
    </xf>
    <xf numFmtId="0" fontId="3" fillId="3" borderId="223" xfId="0" applyNumberFormat="1" applyFont="1" applyFill="1" applyBorder="1" applyAlignment="1">
      <alignment horizontal="center" vertical="center" wrapText="1"/>
    </xf>
    <xf numFmtId="0" fontId="13" fillId="0" borderId="109" xfId="0" applyNumberFormat="1" applyFont="1" applyBorder="1" applyAlignment="1">
      <alignment horizontal="center" vertical="center" wrapText="1"/>
    </xf>
    <xf numFmtId="0" fontId="1" fillId="0" borderId="417" xfId="0" applyNumberFormat="1" applyFont="1" applyFill="1" applyBorder="1" applyAlignment="1" applyProtection="1">
      <alignment horizontal="center" vertical="center" wrapText="1"/>
    </xf>
    <xf numFmtId="0" fontId="1" fillId="0" borderId="260" xfId="0" applyNumberFormat="1" applyFont="1" applyFill="1" applyBorder="1" applyAlignment="1" applyProtection="1">
      <alignment horizontal="center" vertical="center" wrapText="1"/>
    </xf>
    <xf numFmtId="0" fontId="3" fillId="15" borderId="238" xfId="0" applyNumberFormat="1" applyFont="1" applyFill="1" applyBorder="1" applyAlignment="1" applyProtection="1">
      <alignment horizontal="center" vertical="center" wrapText="1"/>
    </xf>
    <xf numFmtId="0" fontId="3" fillId="15" borderId="135" xfId="0" applyNumberFormat="1" applyFont="1" applyFill="1" applyBorder="1" applyAlignment="1" applyProtection="1">
      <alignment horizontal="center" vertical="center" wrapText="1"/>
    </xf>
    <xf numFmtId="0" fontId="3" fillId="15" borderId="136" xfId="0" applyNumberFormat="1" applyFont="1" applyFill="1" applyBorder="1" applyAlignment="1" applyProtection="1">
      <alignment horizontal="center" vertical="center" wrapText="1"/>
    </xf>
    <xf numFmtId="0" fontId="31" fillId="15" borderId="265" xfId="0" applyNumberFormat="1" applyFont="1" applyFill="1" applyBorder="1" applyAlignment="1">
      <alignment horizontal="center" vertical="center" shrinkToFit="1"/>
    </xf>
    <xf numFmtId="0" fontId="31" fillId="15" borderId="138" xfId="0" applyNumberFormat="1" applyFont="1" applyFill="1" applyBorder="1" applyAlignment="1">
      <alignment horizontal="center" vertical="center" shrinkToFit="1"/>
    </xf>
    <xf numFmtId="0" fontId="31" fillId="15" borderId="139" xfId="0" applyNumberFormat="1" applyFont="1" applyFill="1" applyBorder="1" applyAlignment="1">
      <alignment horizontal="center" vertical="center" shrinkToFit="1"/>
    </xf>
    <xf numFmtId="0" fontId="3" fillId="15" borderId="265" xfId="0" applyNumberFormat="1" applyFont="1" applyFill="1" applyBorder="1" applyAlignment="1" applyProtection="1">
      <alignment horizontal="center" vertical="center" wrapText="1"/>
    </xf>
    <xf numFmtId="0" fontId="3" fillId="15" borderId="138" xfId="0" applyNumberFormat="1" applyFont="1" applyFill="1" applyBorder="1" applyAlignment="1" applyProtection="1">
      <alignment horizontal="center" vertical="center" wrapText="1"/>
    </xf>
    <xf numFmtId="0" fontId="3" fillId="15" borderId="139" xfId="0" applyNumberFormat="1" applyFont="1" applyFill="1" applyBorder="1" applyAlignment="1" applyProtection="1">
      <alignment horizontal="center" vertical="center" wrapText="1"/>
    </xf>
    <xf numFmtId="0" fontId="56" fillId="15" borderId="470" xfId="0" applyNumberFormat="1" applyFont="1" applyFill="1" applyBorder="1" applyAlignment="1" applyProtection="1">
      <alignment horizontal="center" vertical="center" wrapText="1"/>
    </xf>
    <xf numFmtId="0" fontId="56" fillId="15" borderId="23" xfId="0" applyNumberFormat="1" applyFont="1" applyFill="1" applyBorder="1" applyAlignment="1" applyProtection="1">
      <alignment horizontal="center" vertical="center" wrapText="1"/>
    </xf>
    <xf numFmtId="0" fontId="56" fillId="15" borderId="25" xfId="0" applyNumberFormat="1" applyFont="1" applyFill="1" applyBorder="1" applyAlignment="1" applyProtection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  <color rgb="FFDDD9C4"/>
      <color rgb="FFD1E1EF"/>
      <color rgb="FFFF33CC"/>
      <color rgb="FFFF3399"/>
      <color rgb="FFF8F8B6"/>
      <color rgb="FFAF1B88"/>
      <color rgb="FF250975"/>
      <color rgb="FFCAAAB5"/>
      <color rgb="FFBDD5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109"/>
  <sheetViews>
    <sheetView zoomScale="85" zoomScaleNormal="85" zoomScaleSheetLayoutView="85" workbookViewId="0">
      <pane xSplit="38" ySplit="6" topLeftCell="AM85" activePane="bottomRight" state="frozen"/>
      <selection pane="topRight" activeCell="AM1" sqref="AM1"/>
      <selection pane="bottomLeft" activeCell="A7" sqref="A7"/>
      <selection pane="bottomRight" activeCell="AP82" sqref="AP82"/>
    </sheetView>
  </sheetViews>
  <sheetFormatPr defaultColWidth="8.8984375" defaultRowHeight="14.4" x14ac:dyDescent="0.25"/>
  <cols>
    <col min="1" max="1" width="3.8984375" style="7" customWidth="1"/>
    <col min="2" max="2" width="5" style="7" customWidth="1"/>
    <col min="3" max="3" width="7.19921875" style="7" customWidth="1"/>
    <col min="4" max="4" width="4.5" style="7" customWidth="1"/>
    <col min="5" max="5" width="4.3984375" style="7" customWidth="1"/>
    <col min="6" max="6" width="4.69921875" style="7" customWidth="1"/>
    <col min="7" max="9" width="6.5" style="7" bestFit="1" customWidth="1"/>
    <col min="10" max="10" width="4.296875" style="7" customWidth="1"/>
    <col min="11" max="11" width="3.09765625" style="7" customWidth="1"/>
    <col min="12" max="13" width="3.796875" style="7" customWidth="1"/>
    <col min="14" max="14" width="4.59765625" style="7" customWidth="1"/>
    <col min="15" max="16" width="3.09765625" style="7" customWidth="1"/>
    <col min="17" max="17" width="3.296875" style="7" customWidth="1"/>
    <col min="18" max="18" width="4.796875" style="7" customWidth="1"/>
    <col min="19" max="20" width="3.09765625" style="7" customWidth="1"/>
    <col min="21" max="21" width="2.8984375" style="7" customWidth="1"/>
    <col min="22" max="22" width="4.3984375" style="7" customWidth="1"/>
    <col min="23" max="23" width="3.09765625" style="7" customWidth="1"/>
    <col min="24" max="24" width="3.59765625" style="7" customWidth="1"/>
    <col min="25" max="25" width="3.3984375" style="7" customWidth="1"/>
    <col min="26" max="26" width="4.8984375" style="7" customWidth="1"/>
    <col min="27" max="28" width="3.09765625" style="7" customWidth="1"/>
    <col min="29" max="29" width="2.796875" style="7" customWidth="1"/>
    <col min="30" max="30" width="5.296875" style="7" hidden="1" customWidth="1"/>
    <col min="31" max="36" width="4" style="7" hidden="1" customWidth="1"/>
    <col min="37" max="37" width="3.8984375" style="7" hidden="1" customWidth="1"/>
    <col min="38" max="38" width="4" style="7" hidden="1" customWidth="1"/>
    <col min="39" max="39" width="18.69921875" style="7" customWidth="1"/>
  </cols>
  <sheetData>
    <row r="1" spans="1:40" ht="50.4" customHeight="1" thickBot="1" x14ac:dyDescent="0.3">
      <c r="A1" s="804" t="s">
        <v>59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4"/>
      <c r="X1" s="804"/>
      <c r="Y1" s="804"/>
      <c r="Z1" s="804"/>
      <c r="AA1" s="804"/>
      <c r="AB1" s="804"/>
      <c r="AC1" s="804"/>
      <c r="AD1" s="804"/>
      <c r="AE1" s="804"/>
      <c r="AF1" s="804"/>
      <c r="AG1" s="804"/>
      <c r="AH1" s="804"/>
      <c r="AI1" s="804"/>
      <c r="AJ1" s="804"/>
      <c r="AK1" s="804"/>
      <c r="AL1" s="804"/>
      <c r="AM1" s="804"/>
    </row>
    <row r="2" spans="1:40" s="2" customFormat="1" ht="80.400000000000006" hidden="1" customHeight="1" x14ac:dyDescent="0.25">
      <c r="A2" s="205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</row>
    <row r="3" spans="1:40" ht="23.25" customHeight="1" x14ac:dyDescent="0.25">
      <c r="A3" s="882" t="s">
        <v>46</v>
      </c>
      <c r="B3" s="884" t="s">
        <v>51</v>
      </c>
      <c r="C3" s="886" t="s">
        <v>39</v>
      </c>
      <c r="D3" s="889" t="s">
        <v>5</v>
      </c>
      <c r="E3" s="890"/>
      <c r="F3" s="891"/>
      <c r="G3" s="889" t="s">
        <v>6</v>
      </c>
      <c r="H3" s="890"/>
      <c r="I3" s="891"/>
      <c r="J3" s="1019" t="s">
        <v>0</v>
      </c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1019"/>
      <c r="AA3" s="1019"/>
      <c r="AB3" s="1019"/>
      <c r="AC3" s="1019"/>
      <c r="AD3" s="1019"/>
      <c r="AE3" s="987" t="s">
        <v>8</v>
      </c>
      <c r="AF3" s="987"/>
      <c r="AG3" s="987"/>
      <c r="AH3" s="987"/>
      <c r="AI3" s="987"/>
      <c r="AJ3" s="987"/>
      <c r="AK3" s="987"/>
      <c r="AL3" s="987"/>
      <c r="AM3" s="988"/>
    </row>
    <row r="4" spans="1:40" ht="20.25" customHeight="1" x14ac:dyDescent="0.25">
      <c r="A4" s="883"/>
      <c r="B4" s="885"/>
      <c r="C4" s="887"/>
      <c r="D4" s="989" t="s">
        <v>21</v>
      </c>
      <c r="E4" s="992" t="s">
        <v>16</v>
      </c>
      <c r="F4" s="994" t="s">
        <v>31</v>
      </c>
      <c r="G4" s="989" t="s">
        <v>21</v>
      </c>
      <c r="H4" s="992" t="s">
        <v>16</v>
      </c>
      <c r="I4" s="994" t="s">
        <v>31</v>
      </c>
      <c r="J4" s="995" t="s">
        <v>102</v>
      </c>
      <c r="K4" s="955"/>
      <c r="L4" s="955"/>
      <c r="M4" s="955"/>
      <c r="N4" s="997" t="s">
        <v>29</v>
      </c>
      <c r="O4" s="998"/>
      <c r="P4" s="998"/>
      <c r="Q4" s="999"/>
      <c r="R4" s="955" t="s">
        <v>11</v>
      </c>
      <c r="S4" s="955"/>
      <c r="T4" s="955"/>
      <c r="U4" s="956"/>
      <c r="V4" s="954" t="s">
        <v>17</v>
      </c>
      <c r="W4" s="955"/>
      <c r="X4" s="955"/>
      <c r="Y4" s="956"/>
      <c r="Z4" s="958" t="s">
        <v>30</v>
      </c>
      <c r="AA4" s="955"/>
      <c r="AB4" s="955"/>
      <c r="AC4" s="955"/>
      <c r="AD4" s="960" t="s">
        <v>2</v>
      </c>
      <c r="AE4" s="1004" t="s">
        <v>56</v>
      </c>
      <c r="AF4" s="1005"/>
      <c r="AG4" s="1005"/>
      <c r="AH4" s="1005"/>
      <c r="AI4" s="984" t="s">
        <v>15</v>
      </c>
      <c r="AJ4" s="984" t="s">
        <v>44</v>
      </c>
      <c r="AK4" s="984" t="s">
        <v>35</v>
      </c>
      <c r="AL4" s="1007" t="s">
        <v>14</v>
      </c>
      <c r="AM4" s="1010" t="s">
        <v>27</v>
      </c>
    </row>
    <row r="5" spans="1:40" ht="11.25" customHeight="1" x14ac:dyDescent="0.25">
      <c r="A5" s="883"/>
      <c r="B5" s="885"/>
      <c r="C5" s="887"/>
      <c r="D5" s="990"/>
      <c r="E5" s="885"/>
      <c r="F5" s="887"/>
      <c r="G5" s="990"/>
      <c r="H5" s="885"/>
      <c r="I5" s="887"/>
      <c r="J5" s="996"/>
      <c r="K5" s="959"/>
      <c r="L5" s="959"/>
      <c r="M5" s="959"/>
      <c r="N5" s="1000"/>
      <c r="O5" s="1001"/>
      <c r="P5" s="1001"/>
      <c r="Q5" s="1002"/>
      <c r="R5" s="959"/>
      <c r="S5" s="959"/>
      <c r="T5" s="959"/>
      <c r="U5" s="1003"/>
      <c r="V5" s="957"/>
      <c r="W5" s="955"/>
      <c r="X5" s="955"/>
      <c r="Y5" s="956"/>
      <c r="Z5" s="957"/>
      <c r="AA5" s="959"/>
      <c r="AB5" s="959"/>
      <c r="AC5" s="959"/>
      <c r="AD5" s="961"/>
      <c r="AE5" s="1006"/>
      <c r="AF5" s="1006"/>
      <c r="AG5" s="1006"/>
      <c r="AH5" s="1006"/>
      <c r="AI5" s="985"/>
      <c r="AJ5" s="985"/>
      <c r="AK5" s="985"/>
      <c r="AL5" s="1008"/>
      <c r="AM5" s="1011"/>
    </row>
    <row r="6" spans="1:40" ht="23.25" customHeight="1" thickBot="1" x14ac:dyDescent="0.3">
      <c r="A6" s="883"/>
      <c r="B6" s="885"/>
      <c r="C6" s="888"/>
      <c r="D6" s="991"/>
      <c r="E6" s="993"/>
      <c r="F6" s="888"/>
      <c r="G6" s="991"/>
      <c r="H6" s="993"/>
      <c r="I6" s="888"/>
      <c r="J6" s="272" t="s">
        <v>39</v>
      </c>
      <c r="K6" s="1013" t="s">
        <v>48</v>
      </c>
      <c r="L6" s="953"/>
      <c r="M6" s="1014"/>
      <c r="N6" s="273" t="s">
        <v>39</v>
      </c>
      <c r="O6" s="1015" t="s">
        <v>48</v>
      </c>
      <c r="P6" s="1015"/>
      <c r="Q6" s="1016"/>
      <c r="R6" s="274" t="s">
        <v>39</v>
      </c>
      <c r="S6" s="953" t="s">
        <v>48</v>
      </c>
      <c r="T6" s="953"/>
      <c r="U6" s="1014"/>
      <c r="V6" s="274" t="s">
        <v>39</v>
      </c>
      <c r="W6" s="1017" t="s">
        <v>48</v>
      </c>
      <c r="X6" s="1017"/>
      <c r="Y6" s="1018"/>
      <c r="Z6" s="274" t="s">
        <v>39</v>
      </c>
      <c r="AA6" s="953" t="s">
        <v>48</v>
      </c>
      <c r="AB6" s="953"/>
      <c r="AC6" s="953"/>
      <c r="AD6" s="962"/>
      <c r="AE6" s="275" t="s">
        <v>43</v>
      </c>
      <c r="AF6" s="276" t="s">
        <v>32</v>
      </c>
      <c r="AG6" s="276" t="s">
        <v>54</v>
      </c>
      <c r="AH6" s="277" t="s">
        <v>41</v>
      </c>
      <c r="AI6" s="986"/>
      <c r="AJ6" s="986"/>
      <c r="AK6" s="986"/>
      <c r="AL6" s="1009"/>
      <c r="AM6" s="1012"/>
    </row>
    <row r="7" spans="1:40" ht="18" customHeight="1" x14ac:dyDescent="0.25">
      <c r="A7" s="912">
        <v>3</v>
      </c>
      <c r="B7" s="927">
        <v>1</v>
      </c>
      <c r="C7" s="928" t="s">
        <v>70</v>
      </c>
      <c r="D7" s="924">
        <f>COUNT(K10,O10,S10,W10,AA10)</f>
        <v>4</v>
      </c>
      <c r="E7" s="818">
        <f>COUNT(L10,P10,T10,X10,AB10)</f>
        <v>4</v>
      </c>
      <c r="F7" s="898">
        <f>COUNT(M10,Q10,U10,Y10,AC10)</f>
        <v>4</v>
      </c>
      <c r="G7" s="932">
        <f>SUM(O10,K10,S10,W10,AA10,)</f>
        <v>26</v>
      </c>
      <c r="H7" s="919">
        <f>SUM(P10,L10,T10,X10,AB10,)</f>
        <v>26</v>
      </c>
      <c r="I7" s="920">
        <f>SUM(M10,Q10,U10,Y10,AC10,)</f>
        <v>26</v>
      </c>
      <c r="J7" s="969">
        <v>2</v>
      </c>
      <c r="K7" s="974"/>
      <c r="L7" s="975"/>
      <c r="M7" s="976"/>
      <c r="N7" s="825">
        <v>3</v>
      </c>
      <c r="O7" s="950" t="s">
        <v>55</v>
      </c>
      <c r="P7" s="950"/>
      <c r="Q7" s="951"/>
      <c r="R7" s="939">
        <v>4</v>
      </c>
      <c r="S7" s="944"/>
      <c r="T7" s="945"/>
      <c r="U7" s="946"/>
      <c r="V7" s="941">
        <v>5</v>
      </c>
      <c r="W7" s="982"/>
      <c r="X7" s="982"/>
      <c r="Y7" s="983"/>
      <c r="Z7" s="968">
        <v>6</v>
      </c>
      <c r="AA7" s="964"/>
      <c r="AB7" s="965"/>
      <c r="AC7" s="965"/>
      <c r="AD7" s="48"/>
      <c r="AE7" s="44"/>
      <c r="AF7" s="8"/>
      <c r="AG7" s="8"/>
      <c r="AH7" s="8"/>
      <c r="AI7" s="9"/>
      <c r="AJ7" s="9"/>
      <c r="AK7" s="10"/>
      <c r="AL7" s="10"/>
      <c r="AM7" s="678"/>
    </row>
    <row r="8" spans="1:40" ht="17.399999999999999" customHeight="1" x14ac:dyDescent="0.25">
      <c r="A8" s="913"/>
      <c r="B8" s="820"/>
      <c r="C8" s="929"/>
      <c r="D8" s="925"/>
      <c r="E8" s="819"/>
      <c r="F8" s="899"/>
      <c r="G8" s="925"/>
      <c r="H8" s="819"/>
      <c r="I8" s="921"/>
      <c r="J8" s="969"/>
      <c r="K8" s="971" t="s">
        <v>7</v>
      </c>
      <c r="L8" s="972"/>
      <c r="M8" s="973"/>
      <c r="N8" s="826"/>
      <c r="O8" s="815" t="s">
        <v>36</v>
      </c>
      <c r="P8" s="816"/>
      <c r="Q8" s="817"/>
      <c r="R8" s="939"/>
      <c r="S8" s="813"/>
      <c r="T8" s="813"/>
      <c r="U8" s="814"/>
      <c r="V8" s="942"/>
      <c r="W8" s="813"/>
      <c r="X8" s="813"/>
      <c r="Y8" s="814"/>
      <c r="Z8" s="699"/>
      <c r="AA8" s="966"/>
      <c r="AB8" s="967"/>
      <c r="AC8" s="967"/>
      <c r="AD8" s="49"/>
      <c r="AE8" s="45"/>
      <c r="AF8" s="11"/>
      <c r="AG8" s="11"/>
      <c r="AH8" s="11"/>
      <c r="AI8" s="11"/>
      <c r="AJ8" s="11"/>
      <c r="AK8" s="10"/>
      <c r="AL8" s="11"/>
      <c r="AM8" s="679"/>
    </row>
    <row r="9" spans="1:40" ht="18" customHeight="1" x14ac:dyDescent="0.25">
      <c r="A9" s="913"/>
      <c r="B9" s="901"/>
      <c r="C9" s="929"/>
      <c r="D9" s="925"/>
      <c r="E9" s="819"/>
      <c r="F9" s="899"/>
      <c r="G9" s="925"/>
      <c r="H9" s="819"/>
      <c r="I9" s="921"/>
      <c r="J9" s="969"/>
      <c r="K9" s="977"/>
      <c r="L9" s="978"/>
      <c r="M9" s="979"/>
      <c r="N9" s="826"/>
      <c r="O9" s="936" t="s">
        <v>36</v>
      </c>
      <c r="P9" s="937"/>
      <c r="Q9" s="938"/>
      <c r="R9" s="939"/>
      <c r="S9" s="947"/>
      <c r="T9" s="948"/>
      <c r="U9" s="949"/>
      <c r="V9" s="942"/>
      <c r="W9" s="813"/>
      <c r="X9" s="813"/>
      <c r="Y9" s="814"/>
      <c r="Z9" s="699"/>
      <c r="AA9" s="963"/>
      <c r="AB9" s="813"/>
      <c r="AC9" s="813"/>
      <c r="AD9" s="49"/>
      <c r="AE9" s="45"/>
      <c r="AF9" s="11"/>
      <c r="AG9" s="11"/>
      <c r="AH9" s="11"/>
      <c r="AI9" s="11"/>
      <c r="AJ9" s="11"/>
      <c r="AK9" s="10"/>
      <c r="AL9" s="11"/>
      <c r="AM9" s="679"/>
    </row>
    <row r="10" spans="1:40" ht="18" customHeight="1" x14ac:dyDescent="0.25">
      <c r="A10" s="913"/>
      <c r="B10" s="901"/>
      <c r="C10" s="930"/>
      <c r="D10" s="926"/>
      <c r="E10" s="820"/>
      <c r="F10" s="900"/>
      <c r="G10" s="926"/>
      <c r="H10" s="820"/>
      <c r="I10" s="922"/>
      <c r="J10" s="970"/>
      <c r="K10" s="216"/>
      <c r="L10" s="216"/>
      <c r="M10" s="217"/>
      <c r="N10" s="827"/>
      <c r="O10" s="15">
        <v>7</v>
      </c>
      <c r="P10" s="15">
        <v>7</v>
      </c>
      <c r="Q10" s="16">
        <v>7</v>
      </c>
      <c r="R10" s="940"/>
      <c r="S10" s="90">
        <v>6</v>
      </c>
      <c r="T10" s="18">
        <v>6</v>
      </c>
      <c r="U10" s="71">
        <v>6</v>
      </c>
      <c r="V10" s="943"/>
      <c r="W10" s="18">
        <v>7</v>
      </c>
      <c r="X10" s="18">
        <v>7</v>
      </c>
      <c r="Y10" s="19">
        <v>7</v>
      </c>
      <c r="Z10" s="853"/>
      <c r="AA10" s="12">
        <v>6</v>
      </c>
      <c r="AB10" s="12">
        <v>6</v>
      </c>
      <c r="AC10" s="13">
        <v>6</v>
      </c>
      <c r="AD10" s="50"/>
      <c r="AE10" s="46"/>
      <c r="AF10" s="14"/>
      <c r="AG10" s="14"/>
      <c r="AH10" s="14"/>
      <c r="AI10" s="14"/>
      <c r="AJ10" s="14"/>
      <c r="AK10" s="14"/>
      <c r="AL10" s="14"/>
      <c r="AM10" s="680"/>
    </row>
    <row r="11" spans="1:40" ht="18" customHeight="1" x14ac:dyDescent="0.25">
      <c r="A11" s="913"/>
      <c r="B11" s="901">
        <v>2</v>
      </c>
      <c r="C11" s="931" t="s">
        <v>60</v>
      </c>
      <c r="D11" s="924">
        <f>COUNT(K14,O14,S14,W14,AA14)</f>
        <v>5</v>
      </c>
      <c r="E11" s="818">
        <f>COUNT(L14,P14,T14,X14,AB14)</f>
        <v>5</v>
      </c>
      <c r="F11" s="898">
        <f>COUNT(M14,Q14,U14,Y14,AC14)</f>
        <v>5</v>
      </c>
      <c r="G11" s="924">
        <f>SUM(K14,O14,S14,W14,AA14)</f>
        <v>32</v>
      </c>
      <c r="H11" s="818">
        <f>SUM(L14,P14,T14,X14,AB14)</f>
        <v>32</v>
      </c>
      <c r="I11" s="923">
        <f>SUM(M14,Q14,U14,Y14,AC14)</f>
        <v>32</v>
      </c>
      <c r="J11" s="980">
        <v>9</v>
      </c>
      <c r="K11" s="828"/>
      <c r="L11" s="828"/>
      <c r="M11" s="829"/>
      <c r="N11" s="701">
        <v>10</v>
      </c>
      <c r="O11" s="746"/>
      <c r="P11" s="746"/>
      <c r="Q11" s="747"/>
      <c r="R11" s="825">
        <v>11</v>
      </c>
      <c r="S11" s="828"/>
      <c r="T11" s="828"/>
      <c r="U11" s="829"/>
      <c r="V11" s="701">
        <v>12</v>
      </c>
      <c r="W11" s="828"/>
      <c r="X11" s="828"/>
      <c r="Y11" s="837"/>
      <c r="Z11" s="698">
        <v>13</v>
      </c>
      <c r="AA11" s="810"/>
      <c r="AB11" s="811"/>
      <c r="AC11" s="812"/>
      <c r="AD11" s="51"/>
      <c r="AE11" s="47"/>
      <c r="AF11" s="9"/>
      <c r="AG11" s="9"/>
      <c r="AH11" s="9"/>
      <c r="AI11" s="9"/>
      <c r="AJ11" s="9"/>
      <c r="AK11" s="10"/>
      <c r="AL11" s="10"/>
      <c r="AM11" s="681"/>
    </row>
    <row r="12" spans="1:40" ht="18" customHeight="1" x14ac:dyDescent="0.25">
      <c r="A12" s="913"/>
      <c r="B12" s="901"/>
      <c r="C12" s="929"/>
      <c r="D12" s="925"/>
      <c r="E12" s="819"/>
      <c r="F12" s="899"/>
      <c r="G12" s="925"/>
      <c r="H12" s="819"/>
      <c r="I12" s="921"/>
      <c r="J12" s="952"/>
      <c r="K12" s="873"/>
      <c r="L12" s="873"/>
      <c r="M12" s="874"/>
      <c r="N12" s="702"/>
      <c r="O12" s="490"/>
      <c r="P12" s="490"/>
      <c r="Q12" s="491"/>
      <c r="R12" s="826"/>
      <c r="S12" s="867"/>
      <c r="T12" s="867"/>
      <c r="U12" s="868"/>
      <c r="V12" s="702"/>
      <c r="W12" s="704"/>
      <c r="X12" s="704"/>
      <c r="Y12" s="705"/>
      <c r="Z12" s="699"/>
      <c r="AA12" s="813"/>
      <c r="AB12" s="813"/>
      <c r="AC12" s="814"/>
      <c r="AD12" s="49"/>
      <c r="AE12" s="45"/>
      <c r="AF12" s="11"/>
      <c r="AG12" s="11"/>
      <c r="AH12" s="11"/>
      <c r="AI12" s="11"/>
      <c r="AJ12" s="11"/>
      <c r="AK12" s="10"/>
      <c r="AL12" s="11"/>
      <c r="AM12" s="682"/>
    </row>
    <row r="13" spans="1:40" ht="18" customHeight="1" x14ac:dyDescent="0.25">
      <c r="A13" s="913"/>
      <c r="B13" s="901"/>
      <c r="C13" s="929"/>
      <c r="D13" s="925"/>
      <c r="E13" s="819"/>
      <c r="F13" s="899"/>
      <c r="G13" s="925"/>
      <c r="H13" s="819"/>
      <c r="I13" s="921"/>
      <c r="J13" s="952"/>
      <c r="K13" s="704"/>
      <c r="L13" s="704"/>
      <c r="M13" s="824"/>
      <c r="N13" s="702"/>
      <c r="O13" s="490"/>
      <c r="P13" s="490"/>
      <c r="Q13" s="491"/>
      <c r="R13" s="826"/>
      <c r="S13" s="704"/>
      <c r="T13" s="704"/>
      <c r="U13" s="824"/>
      <c r="V13" s="702"/>
      <c r="W13" s="704"/>
      <c r="X13" s="704"/>
      <c r="Y13" s="705"/>
      <c r="Z13" s="699"/>
      <c r="AA13" s="521"/>
      <c r="AB13" s="522"/>
      <c r="AC13" s="523"/>
      <c r="AD13" s="49"/>
      <c r="AE13" s="45"/>
      <c r="AF13" s="11"/>
      <c r="AG13" s="11"/>
      <c r="AH13" s="11"/>
      <c r="AI13" s="11"/>
      <c r="AJ13" s="11"/>
      <c r="AK13" s="10"/>
      <c r="AL13" s="11"/>
      <c r="AM13" s="682"/>
    </row>
    <row r="14" spans="1:40" ht="18" customHeight="1" x14ac:dyDescent="0.25">
      <c r="A14" s="913"/>
      <c r="B14" s="901"/>
      <c r="C14" s="930"/>
      <c r="D14" s="926"/>
      <c r="E14" s="820"/>
      <c r="F14" s="900"/>
      <c r="G14" s="926"/>
      <c r="H14" s="820"/>
      <c r="I14" s="922"/>
      <c r="J14" s="981"/>
      <c r="K14" s="15">
        <v>6</v>
      </c>
      <c r="L14" s="15">
        <v>6</v>
      </c>
      <c r="M14" s="16">
        <v>6</v>
      </c>
      <c r="N14" s="703"/>
      <c r="O14" s="171">
        <v>7</v>
      </c>
      <c r="P14" s="171">
        <v>7</v>
      </c>
      <c r="Q14" s="172">
        <v>7</v>
      </c>
      <c r="R14" s="827"/>
      <c r="S14" s="15">
        <v>6</v>
      </c>
      <c r="T14" s="15">
        <v>6</v>
      </c>
      <c r="U14" s="16">
        <v>6</v>
      </c>
      <c r="V14" s="703"/>
      <c r="W14" s="15">
        <v>7</v>
      </c>
      <c r="X14" s="15">
        <v>7</v>
      </c>
      <c r="Y14" s="17">
        <v>7</v>
      </c>
      <c r="Z14" s="700"/>
      <c r="AA14" s="15">
        <v>6</v>
      </c>
      <c r="AB14" s="15">
        <v>6</v>
      </c>
      <c r="AC14" s="16">
        <v>6</v>
      </c>
      <c r="AD14" s="50"/>
      <c r="AE14" s="46"/>
      <c r="AF14" s="14"/>
      <c r="AG14" s="14"/>
      <c r="AH14" s="14"/>
      <c r="AI14" s="14"/>
      <c r="AJ14" s="14"/>
      <c r="AK14" s="14"/>
      <c r="AL14" s="14"/>
      <c r="AM14" s="683"/>
    </row>
    <row r="15" spans="1:40" ht="18" customHeight="1" x14ac:dyDescent="0.25">
      <c r="A15" s="913"/>
      <c r="B15" s="933">
        <v>3</v>
      </c>
      <c r="C15" s="902" t="s">
        <v>61</v>
      </c>
      <c r="D15" s="895">
        <f>COUNT(K18,O18,S18,W18,AA18)</f>
        <v>5</v>
      </c>
      <c r="E15" s="818">
        <f>COUNT(L18,P18,T18,X18,AB18)</f>
        <v>5</v>
      </c>
      <c r="F15" s="898">
        <f>COUNT(M18,Q18,U18,Y18,AC18)</f>
        <v>5</v>
      </c>
      <c r="G15" s="924">
        <f>SUM(K18,O18,S18,W18,AA18)</f>
        <v>32</v>
      </c>
      <c r="H15" s="818">
        <f>SUM(L18,P18,T18,X18,AB18)</f>
        <v>32</v>
      </c>
      <c r="I15" s="923">
        <f>SUM(M18,Q18,U18,Y18,AC18)</f>
        <v>32</v>
      </c>
      <c r="J15" s="980">
        <v>16</v>
      </c>
      <c r="K15" s="829"/>
      <c r="L15" s="877"/>
      <c r="M15" s="878"/>
      <c r="N15" s="701">
        <v>17</v>
      </c>
      <c r="O15" s="828"/>
      <c r="P15" s="828"/>
      <c r="Q15" s="837"/>
      <c r="R15" s="698">
        <v>18</v>
      </c>
      <c r="S15" s="858" t="s">
        <v>108</v>
      </c>
      <c r="T15" s="859"/>
      <c r="U15" s="860"/>
      <c r="V15" s="701">
        <v>19</v>
      </c>
      <c r="W15" s="828"/>
      <c r="X15" s="828"/>
      <c r="Y15" s="837"/>
      <c r="Z15" s="698">
        <v>20</v>
      </c>
      <c r="AA15" s="536"/>
      <c r="AB15" s="537"/>
      <c r="AC15" s="538"/>
      <c r="AD15" s="52"/>
      <c r="AE15" s="47"/>
      <c r="AF15" s="9"/>
      <c r="AG15" s="9"/>
      <c r="AH15" s="9"/>
      <c r="AI15" s="9"/>
      <c r="AJ15" s="9"/>
      <c r="AK15" s="10"/>
      <c r="AL15" s="10"/>
      <c r="AM15" s="762" t="s">
        <v>136</v>
      </c>
    </row>
    <row r="16" spans="1:40" ht="18" customHeight="1" x14ac:dyDescent="0.25">
      <c r="A16" s="913"/>
      <c r="B16" s="934"/>
      <c r="C16" s="903"/>
      <c r="D16" s="896"/>
      <c r="E16" s="819"/>
      <c r="F16" s="899"/>
      <c r="G16" s="925"/>
      <c r="H16" s="819"/>
      <c r="I16" s="921"/>
      <c r="J16" s="952"/>
      <c r="K16" s="868"/>
      <c r="L16" s="869"/>
      <c r="M16" s="870"/>
      <c r="N16" s="702"/>
      <c r="O16" s="873"/>
      <c r="P16" s="873"/>
      <c r="Q16" s="879"/>
      <c r="R16" s="699"/>
      <c r="S16" s="861"/>
      <c r="T16" s="862"/>
      <c r="U16" s="863"/>
      <c r="V16" s="702"/>
      <c r="W16" s="838"/>
      <c r="X16" s="838"/>
      <c r="Y16" s="839"/>
      <c r="Z16" s="699"/>
      <c r="AA16" s="554"/>
      <c r="AB16" s="555"/>
      <c r="AC16" s="556"/>
      <c r="AD16" s="53"/>
      <c r="AE16" s="45"/>
      <c r="AF16" s="11"/>
      <c r="AG16" s="11"/>
      <c r="AH16" s="11"/>
      <c r="AI16" s="11"/>
      <c r="AJ16" s="11"/>
      <c r="AK16" s="130"/>
      <c r="AL16" s="11"/>
      <c r="AM16" s="763"/>
      <c r="AN16" s="7" t="s">
        <v>47</v>
      </c>
    </row>
    <row r="17" spans="1:40" ht="18" customHeight="1" x14ac:dyDescent="0.25">
      <c r="A17" s="913"/>
      <c r="B17" s="934"/>
      <c r="C17" s="903"/>
      <c r="D17" s="896"/>
      <c r="E17" s="819"/>
      <c r="F17" s="899"/>
      <c r="G17" s="925"/>
      <c r="H17" s="819"/>
      <c r="I17" s="921"/>
      <c r="J17" s="952"/>
      <c r="K17" s="824"/>
      <c r="L17" s="871"/>
      <c r="M17" s="872"/>
      <c r="N17" s="702"/>
      <c r="O17" s="704"/>
      <c r="P17" s="704"/>
      <c r="Q17" s="705"/>
      <c r="R17" s="699"/>
      <c r="S17" s="864"/>
      <c r="T17" s="865"/>
      <c r="U17" s="866"/>
      <c r="V17" s="702"/>
      <c r="W17" s="704"/>
      <c r="X17" s="704"/>
      <c r="Y17" s="705"/>
      <c r="Z17" s="699"/>
      <c r="AA17" s="521"/>
      <c r="AB17" s="522"/>
      <c r="AC17" s="523"/>
      <c r="AD17" s="53"/>
      <c r="AE17" s="45"/>
      <c r="AF17" s="11"/>
      <c r="AG17" s="11"/>
      <c r="AH17" s="11"/>
      <c r="AI17" s="11"/>
      <c r="AJ17" s="11"/>
      <c r="AK17" s="10"/>
      <c r="AL17" s="11"/>
      <c r="AM17" s="763"/>
    </row>
    <row r="18" spans="1:40" ht="18" customHeight="1" thickBot="1" x14ac:dyDescent="0.3">
      <c r="A18" s="913"/>
      <c r="B18" s="935"/>
      <c r="C18" s="904"/>
      <c r="D18" s="897"/>
      <c r="E18" s="820"/>
      <c r="F18" s="900"/>
      <c r="G18" s="926"/>
      <c r="H18" s="820"/>
      <c r="I18" s="922"/>
      <c r="J18" s="981"/>
      <c r="K18" s="15">
        <v>6</v>
      </c>
      <c r="L18" s="15">
        <v>6</v>
      </c>
      <c r="M18" s="16">
        <v>6</v>
      </c>
      <c r="N18" s="703"/>
      <c r="O18" s="15">
        <v>7</v>
      </c>
      <c r="P18" s="15">
        <v>7</v>
      </c>
      <c r="Q18" s="17">
        <v>7</v>
      </c>
      <c r="R18" s="700"/>
      <c r="S18" s="15">
        <v>6</v>
      </c>
      <c r="T18" s="15">
        <v>6</v>
      </c>
      <c r="U18" s="17">
        <v>6</v>
      </c>
      <c r="V18" s="703"/>
      <c r="W18" s="15">
        <v>7</v>
      </c>
      <c r="X18" s="15">
        <v>7</v>
      </c>
      <c r="Y18" s="17">
        <v>7</v>
      </c>
      <c r="Z18" s="700"/>
      <c r="AA18" s="15">
        <v>6</v>
      </c>
      <c r="AB18" s="15">
        <v>6</v>
      </c>
      <c r="AC18" s="16">
        <v>6</v>
      </c>
      <c r="AD18" s="50"/>
      <c r="AE18" s="46"/>
      <c r="AF18" s="14"/>
      <c r="AG18" s="14"/>
      <c r="AH18" s="14"/>
      <c r="AI18" s="14"/>
      <c r="AJ18" s="14"/>
      <c r="AK18" s="14"/>
      <c r="AL18" s="14"/>
      <c r="AM18" s="764"/>
    </row>
    <row r="19" spans="1:40" s="1" customFormat="1" ht="18" customHeight="1" thickBot="1" x14ac:dyDescent="0.3">
      <c r="A19" s="912"/>
      <c r="B19" s="820">
        <v>4</v>
      </c>
      <c r="C19" s="902" t="s">
        <v>62</v>
      </c>
      <c r="D19" s="895">
        <f>COUNT(K22,O22,S22,W22,AA22)</f>
        <v>5</v>
      </c>
      <c r="E19" s="818">
        <f>COUNT(L22,P22,T22,X22,AB22)</f>
        <v>5</v>
      </c>
      <c r="F19" s="898">
        <f>COUNT(M22,Q22,U22,Y22,AC22)</f>
        <v>5</v>
      </c>
      <c r="G19" s="924">
        <f>SUM(K22,O22,S22,W22,AA22)</f>
        <v>32</v>
      </c>
      <c r="H19" s="818">
        <f>SUM(L22,P22,T22,X22,AB22)</f>
        <v>32</v>
      </c>
      <c r="I19" s="923">
        <f>SUM(M22,Q22,U22,Y22,AC22)</f>
        <v>32</v>
      </c>
      <c r="J19" s="952">
        <v>23</v>
      </c>
      <c r="K19" s="829"/>
      <c r="L19" s="877"/>
      <c r="M19" s="878"/>
      <c r="N19" s="854">
        <v>24</v>
      </c>
      <c r="O19" s="781" t="s">
        <v>58</v>
      </c>
      <c r="P19" s="782"/>
      <c r="Q19" s="783"/>
      <c r="R19" s="852">
        <v>25</v>
      </c>
      <c r="S19" s="829"/>
      <c r="T19" s="856"/>
      <c r="U19" s="857"/>
      <c r="V19" s="854">
        <v>26</v>
      </c>
      <c r="W19" s="840"/>
      <c r="X19" s="840"/>
      <c r="Y19" s="841"/>
      <c r="Z19" s="852">
        <v>27</v>
      </c>
      <c r="AA19" s="536"/>
      <c r="AB19" s="537"/>
      <c r="AC19" s="538"/>
      <c r="AD19" s="52"/>
      <c r="AE19" s="47"/>
      <c r="AF19" s="9"/>
      <c r="AG19" s="9"/>
      <c r="AH19" s="9"/>
      <c r="AI19" s="9"/>
      <c r="AJ19" s="9"/>
      <c r="AK19" s="10"/>
      <c r="AL19" s="10"/>
      <c r="AM19" s="681"/>
    </row>
    <row r="20" spans="1:40" s="1" customFormat="1" ht="18" customHeight="1" thickBot="1" x14ac:dyDescent="0.3">
      <c r="A20" s="912"/>
      <c r="B20" s="901"/>
      <c r="C20" s="903"/>
      <c r="D20" s="896"/>
      <c r="E20" s="819"/>
      <c r="F20" s="899"/>
      <c r="G20" s="925"/>
      <c r="H20" s="819"/>
      <c r="I20" s="921"/>
      <c r="J20" s="952"/>
      <c r="K20" s="868"/>
      <c r="L20" s="869"/>
      <c r="M20" s="870"/>
      <c r="N20" s="702"/>
      <c r="O20" s="690" t="s">
        <v>1</v>
      </c>
      <c r="P20" s="691"/>
      <c r="Q20" s="692"/>
      <c r="R20" s="699"/>
      <c r="S20" s="593"/>
      <c r="T20" s="594"/>
      <c r="U20" s="595"/>
      <c r="V20" s="702"/>
      <c r="W20" s="838"/>
      <c r="X20" s="838"/>
      <c r="Y20" s="839"/>
      <c r="Z20" s="699"/>
      <c r="AA20" s="554"/>
      <c r="AB20" s="555"/>
      <c r="AC20" s="556"/>
      <c r="AD20" s="53"/>
      <c r="AE20" s="45"/>
      <c r="AF20" s="11"/>
      <c r="AG20" s="11"/>
      <c r="AH20" s="11"/>
      <c r="AI20" s="11"/>
      <c r="AJ20" s="11"/>
      <c r="AK20" s="130"/>
      <c r="AL20" s="11"/>
      <c r="AM20" s="682"/>
      <c r="AN20" s="5" t="s">
        <v>47</v>
      </c>
    </row>
    <row r="21" spans="1:40" s="1" customFormat="1" ht="18" customHeight="1" thickBot="1" x14ac:dyDescent="0.3">
      <c r="A21" s="912"/>
      <c r="B21" s="901"/>
      <c r="C21" s="903"/>
      <c r="D21" s="896"/>
      <c r="E21" s="819"/>
      <c r="F21" s="899"/>
      <c r="G21" s="925"/>
      <c r="H21" s="819"/>
      <c r="I21" s="921"/>
      <c r="J21" s="952"/>
      <c r="K21" s="824"/>
      <c r="L21" s="871"/>
      <c r="M21" s="872"/>
      <c r="N21" s="702"/>
      <c r="O21" s="739" t="s">
        <v>1</v>
      </c>
      <c r="P21" s="740"/>
      <c r="Q21" s="741"/>
      <c r="R21" s="699"/>
      <c r="S21" s="842"/>
      <c r="T21" s="843"/>
      <c r="U21" s="844"/>
      <c r="V21" s="702"/>
      <c r="W21" s="704"/>
      <c r="X21" s="704"/>
      <c r="Y21" s="705"/>
      <c r="Z21" s="699"/>
      <c r="AA21" s="521"/>
      <c r="AB21" s="522"/>
      <c r="AC21" s="523"/>
      <c r="AD21" s="53"/>
      <c r="AE21" s="45"/>
      <c r="AF21" s="11"/>
      <c r="AG21" s="11"/>
      <c r="AH21" s="11"/>
      <c r="AI21" s="11"/>
      <c r="AJ21" s="11"/>
      <c r="AK21" s="10"/>
      <c r="AL21" s="11"/>
      <c r="AM21" s="682"/>
    </row>
    <row r="22" spans="1:40" s="1" customFormat="1" ht="18" customHeight="1" x14ac:dyDescent="0.25">
      <c r="A22" s="912"/>
      <c r="B22" s="901"/>
      <c r="C22" s="904"/>
      <c r="D22" s="897"/>
      <c r="E22" s="820"/>
      <c r="F22" s="900"/>
      <c r="G22" s="926"/>
      <c r="H22" s="820"/>
      <c r="I22" s="922"/>
      <c r="J22" s="952"/>
      <c r="K22" s="12">
        <v>6</v>
      </c>
      <c r="L22" s="12">
        <v>6</v>
      </c>
      <c r="M22" s="13">
        <v>6</v>
      </c>
      <c r="N22" s="855"/>
      <c r="O22" s="15">
        <v>7</v>
      </c>
      <c r="P22" s="15">
        <v>7</v>
      </c>
      <c r="Q22" s="17">
        <v>7</v>
      </c>
      <c r="R22" s="853"/>
      <c r="S22" s="15">
        <v>6</v>
      </c>
      <c r="T22" s="15">
        <v>6</v>
      </c>
      <c r="U22" s="17">
        <v>6</v>
      </c>
      <c r="V22" s="855"/>
      <c r="W22" s="15">
        <v>7</v>
      </c>
      <c r="X22" s="15">
        <v>7</v>
      </c>
      <c r="Y22" s="17">
        <v>7</v>
      </c>
      <c r="Z22" s="853"/>
      <c r="AA22" s="15">
        <v>6</v>
      </c>
      <c r="AB22" s="15">
        <v>6</v>
      </c>
      <c r="AC22" s="16">
        <v>6</v>
      </c>
      <c r="AD22" s="50"/>
      <c r="AE22" s="46"/>
      <c r="AF22" s="14"/>
      <c r="AG22" s="14"/>
      <c r="AH22" s="14"/>
      <c r="AI22" s="14"/>
      <c r="AJ22" s="14"/>
      <c r="AK22" s="14"/>
      <c r="AL22" s="14"/>
      <c r="AM22" s="683"/>
    </row>
    <row r="23" spans="1:40" ht="18" customHeight="1" x14ac:dyDescent="0.25">
      <c r="A23" s="913"/>
      <c r="B23" s="906">
        <v>5</v>
      </c>
      <c r="C23" s="1038" t="s">
        <v>63</v>
      </c>
      <c r="D23" s="1020">
        <f>COUNT(K26,O26,S26,W26,AA26)</f>
        <v>2</v>
      </c>
      <c r="E23" s="665">
        <f>COUNT(L26,P26,T26,X26,AB26)</f>
        <v>2</v>
      </c>
      <c r="F23" s="1039">
        <f>COUNT(M26,Q26,U26,Y26,AC26)</f>
        <v>2</v>
      </c>
      <c r="G23" s="1020">
        <f>SUM(K26,O26,S26,W26,AA26)</f>
        <v>13</v>
      </c>
      <c r="H23" s="665">
        <f>SUM(L26,P26,T26,X26,AB26)</f>
        <v>13</v>
      </c>
      <c r="I23" s="655">
        <f>SUM(M26,Q26,U26,Y26,AC26)</f>
        <v>13</v>
      </c>
      <c r="J23" s="1021">
        <v>30</v>
      </c>
      <c r="K23" s="1023"/>
      <c r="L23" s="1024"/>
      <c r="M23" s="1025"/>
      <c r="N23" s="457">
        <v>31</v>
      </c>
      <c r="O23" s="746"/>
      <c r="P23" s="746"/>
      <c r="Q23" s="747"/>
      <c r="R23" s="481"/>
      <c r="S23" s="847"/>
      <c r="T23" s="847"/>
      <c r="U23" s="848"/>
      <c r="V23" s="457"/>
      <c r="W23" s="504"/>
      <c r="X23" s="504"/>
      <c r="Y23" s="508"/>
      <c r="Z23" s="481"/>
      <c r="AA23" s="536"/>
      <c r="AB23" s="537"/>
      <c r="AC23" s="538"/>
      <c r="AD23" s="156"/>
      <c r="AE23" s="157"/>
      <c r="AF23" s="158"/>
      <c r="AG23" s="158"/>
      <c r="AH23" s="158"/>
      <c r="AI23" s="158"/>
      <c r="AJ23" s="158"/>
      <c r="AK23" s="155"/>
      <c r="AL23" s="155"/>
      <c r="AM23" s="767"/>
    </row>
    <row r="24" spans="1:40" ht="18" customHeight="1" x14ac:dyDescent="0.25">
      <c r="A24" s="913"/>
      <c r="B24" s="906"/>
      <c r="C24" s="668"/>
      <c r="D24" s="671"/>
      <c r="E24" s="663"/>
      <c r="F24" s="910"/>
      <c r="G24" s="671"/>
      <c r="H24" s="663"/>
      <c r="I24" s="656"/>
      <c r="J24" s="1022"/>
      <c r="K24" s="521"/>
      <c r="L24" s="1026"/>
      <c r="M24" s="1027"/>
      <c r="N24" s="458"/>
      <c r="O24" s="504"/>
      <c r="P24" s="504"/>
      <c r="Q24" s="508"/>
      <c r="R24" s="482"/>
      <c r="S24" s="504"/>
      <c r="T24" s="504"/>
      <c r="U24" s="505"/>
      <c r="V24" s="458"/>
      <c r="W24" s="504"/>
      <c r="X24" s="504"/>
      <c r="Y24" s="508"/>
      <c r="Z24" s="482"/>
      <c r="AA24" s="808"/>
      <c r="AB24" s="808"/>
      <c r="AC24" s="809"/>
      <c r="AD24" s="151"/>
      <c r="AE24" s="152"/>
      <c r="AF24" s="153"/>
      <c r="AG24" s="153"/>
      <c r="AH24" s="153"/>
      <c r="AI24" s="153"/>
      <c r="AJ24" s="153"/>
      <c r="AK24" s="155"/>
      <c r="AL24" s="153"/>
      <c r="AM24" s="751"/>
    </row>
    <row r="25" spans="1:40" ht="18" customHeight="1" x14ac:dyDescent="0.25">
      <c r="A25" s="913"/>
      <c r="B25" s="906"/>
      <c r="C25" s="668"/>
      <c r="D25" s="671"/>
      <c r="E25" s="663"/>
      <c r="F25" s="910"/>
      <c r="G25" s="671"/>
      <c r="H25" s="663"/>
      <c r="I25" s="656"/>
      <c r="J25" s="1022"/>
      <c r="K25" s="505"/>
      <c r="L25" s="875"/>
      <c r="M25" s="876"/>
      <c r="N25" s="458"/>
      <c r="O25" s="490"/>
      <c r="P25" s="490"/>
      <c r="Q25" s="491"/>
      <c r="R25" s="482"/>
      <c r="S25" s="490"/>
      <c r="T25" s="490"/>
      <c r="U25" s="593"/>
      <c r="V25" s="458"/>
      <c r="W25" s="504"/>
      <c r="X25" s="504"/>
      <c r="Y25" s="508"/>
      <c r="Z25" s="482"/>
      <c r="AA25" s="805"/>
      <c r="AB25" s="806"/>
      <c r="AC25" s="807"/>
      <c r="AD25" s="151"/>
      <c r="AE25" s="152"/>
      <c r="AF25" s="153"/>
      <c r="AG25" s="153"/>
      <c r="AH25" s="153"/>
      <c r="AI25" s="153"/>
      <c r="AJ25" s="153"/>
      <c r="AK25" s="155"/>
      <c r="AL25" s="153"/>
      <c r="AM25" s="751"/>
    </row>
    <row r="26" spans="1:40" ht="18" customHeight="1" thickBot="1" x14ac:dyDescent="0.3">
      <c r="A26" s="913"/>
      <c r="B26" s="665"/>
      <c r="C26" s="668"/>
      <c r="D26" s="671"/>
      <c r="E26" s="663"/>
      <c r="F26" s="910"/>
      <c r="G26" s="671"/>
      <c r="H26" s="663"/>
      <c r="I26" s="656"/>
      <c r="J26" s="1022"/>
      <c r="K26" s="178">
        <v>6</v>
      </c>
      <c r="L26" s="178">
        <v>6</v>
      </c>
      <c r="M26" s="207">
        <v>6</v>
      </c>
      <c r="N26" s="658"/>
      <c r="O26" s="15">
        <v>7</v>
      </c>
      <c r="P26" s="15">
        <v>7</v>
      </c>
      <c r="Q26" s="17">
        <v>7</v>
      </c>
      <c r="R26" s="788"/>
      <c r="S26" s="178"/>
      <c r="T26" s="178"/>
      <c r="U26" s="207"/>
      <c r="V26" s="658"/>
      <c r="W26" s="178"/>
      <c r="X26" s="178"/>
      <c r="Y26" s="207"/>
      <c r="Z26" s="788"/>
      <c r="AA26" s="178"/>
      <c r="AB26" s="178"/>
      <c r="AC26" s="179"/>
      <c r="AD26" s="208"/>
      <c r="AE26" s="209"/>
      <c r="AF26" s="210"/>
      <c r="AG26" s="210"/>
      <c r="AH26" s="210"/>
      <c r="AI26" s="210"/>
      <c r="AJ26" s="210"/>
      <c r="AK26" s="210"/>
      <c r="AL26" s="210"/>
      <c r="AM26" s="751"/>
    </row>
    <row r="27" spans="1:40" ht="18" customHeight="1" x14ac:dyDescent="0.25">
      <c r="A27" s="599">
        <v>4</v>
      </c>
      <c r="B27" s="905">
        <v>5</v>
      </c>
      <c r="C27" s="892" t="s">
        <v>64</v>
      </c>
      <c r="D27" s="670">
        <f>COUNT(K30,O30,S30,W30,AA30)</f>
        <v>3</v>
      </c>
      <c r="E27" s="662">
        <f>COUNT(L30,P30,T30,X30,AB30)</f>
        <v>3</v>
      </c>
      <c r="F27" s="667">
        <f>COUNT(M30,Q30,U30,Y30,AC30)</f>
        <v>3</v>
      </c>
      <c r="G27" s="670">
        <f>SUM(K30,O30,S30,W30,AA30)</f>
        <v>19</v>
      </c>
      <c r="H27" s="662">
        <f>SUM(L30,P30,T30,X30,AB30)</f>
        <v>19</v>
      </c>
      <c r="I27" s="1036">
        <f>SUM(M30,Q30,U30,Y30,AC30)</f>
        <v>19</v>
      </c>
      <c r="J27" s="636"/>
      <c r="K27" s="821"/>
      <c r="L27" s="822"/>
      <c r="M27" s="823"/>
      <c r="N27" s="636"/>
      <c r="O27" s="821"/>
      <c r="P27" s="822"/>
      <c r="Q27" s="823"/>
      <c r="R27" s="787">
        <v>1</v>
      </c>
      <c r="S27" s="706" t="s">
        <v>24</v>
      </c>
      <c r="T27" s="707"/>
      <c r="U27" s="708"/>
      <c r="V27" s="789">
        <v>2</v>
      </c>
      <c r="W27" s="706" t="s">
        <v>98</v>
      </c>
      <c r="X27" s="707"/>
      <c r="Y27" s="708"/>
      <c r="Z27" s="787">
        <v>3</v>
      </c>
      <c r="AA27" s="706" t="s">
        <v>24</v>
      </c>
      <c r="AB27" s="707"/>
      <c r="AC27" s="708"/>
      <c r="AD27" s="218"/>
      <c r="AE27" s="219"/>
      <c r="AF27" s="220"/>
      <c r="AG27" s="220"/>
      <c r="AH27" s="220"/>
      <c r="AI27" s="220"/>
      <c r="AJ27" s="220"/>
      <c r="AK27" s="221"/>
      <c r="AL27" s="221"/>
      <c r="AM27" s="765"/>
    </row>
    <row r="28" spans="1:40" ht="18" customHeight="1" x14ac:dyDescent="0.25">
      <c r="A28" s="914"/>
      <c r="B28" s="906"/>
      <c r="C28" s="893"/>
      <c r="D28" s="671"/>
      <c r="E28" s="663"/>
      <c r="F28" s="910"/>
      <c r="G28" s="671"/>
      <c r="H28" s="663"/>
      <c r="I28" s="656"/>
      <c r="J28" s="458"/>
      <c r="K28" s="505"/>
      <c r="L28" s="875"/>
      <c r="M28" s="876"/>
      <c r="N28" s="458"/>
      <c r="O28" s="505"/>
      <c r="P28" s="875"/>
      <c r="Q28" s="876"/>
      <c r="R28" s="482"/>
      <c r="S28" s="849"/>
      <c r="T28" s="850"/>
      <c r="U28" s="851"/>
      <c r="V28" s="790"/>
      <c r="W28" s="784"/>
      <c r="X28" s="785"/>
      <c r="Y28" s="786"/>
      <c r="Z28" s="482"/>
      <c r="AA28" s="784" t="s">
        <v>99</v>
      </c>
      <c r="AB28" s="785"/>
      <c r="AC28" s="786"/>
      <c r="AD28" s="151"/>
      <c r="AE28" s="152"/>
      <c r="AF28" s="153"/>
      <c r="AG28" s="153"/>
      <c r="AH28" s="153"/>
      <c r="AI28" s="153"/>
      <c r="AJ28" s="153"/>
      <c r="AK28" s="154"/>
      <c r="AL28" s="153"/>
      <c r="AM28" s="751"/>
    </row>
    <row r="29" spans="1:40" ht="18" customHeight="1" x14ac:dyDescent="0.25">
      <c r="A29" s="914"/>
      <c r="B29" s="906"/>
      <c r="C29" s="893"/>
      <c r="D29" s="671"/>
      <c r="E29" s="663"/>
      <c r="F29" s="910"/>
      <c r="G29" s="671"/>
      <c r="H29" s="663"/>
      <c r="I29" s="656"/>
      <c r="J29" s="458"/>
      <c r="K29" s="593"/>
      <c r="L29" s="830"/>
      <c r="M29" s="831"/>
      <c r="N29" s="458"/>
      <c r="O29" s="593"/>
      <c r="P29" s="830"/>
      <c r="Q29" s="831"/>
      <c r="R29" s="482"/>
      <c r="S29" s="845"/>
      <c r="T29" s="845"/>
      <c r="U29" s="846"/>
      <c r="V29" s="790"/>
      <c r="W29" s="509"/>
      <c r="X29" s="510"/>
      <c r="Y29" s="511"/>
      <c r="Z29" s="482"/>
      <c r="AA29" s="490"/>
      <c r="AB29" s="490"/>
      <c r="AC29" s="593"/>
      <c r="AD29" s="151"/>
      <c r="AE29" s="152"/>
      <c r="AF29" s="153"/>
      <c r="AG29" s="153"/>
      <c r="AH29" s="153"/>
      <c r="AI29" s="153"/>
      <c r="AJ29" s="153"/>
      <c r="AK29" s="155"/>
      <c r="AL29" s="153"/>
      <c r="AM29" s="751"/>
    </row>
    <row r="30" spans="1:40" ht="18" customHeight="1" x14ac:dyDescent="0.25">
      <c r="A30" s="914"/>
      <c r="B30" s="907"/>
      <c r="C30" s="894"/>
      <c r="D30" s="908"/>
      <c r="E30" s="909"/>
      <c r="F30" s="911"/>
      <c r="G30" s="908"/>
      <c r="H30" s="909"/>
      <c r="I30" s="1037"/>
      <c r="J30" s="612"/>
      <c r="K30" s="159"/>
      <c r="L30" s="159"/>
      <c r="M30" s="160"/>
      <c r="N30" s="612"/>
      <c r="O30" s="159"/>
      <c r="P30" s="159"/>
      <c r="Q30" s="160"/>
      <c r="R30" s="483"/>
      <c r="S30" s="260">
        <v>6</v>
      </c>
      <c r="T30" s="171">
        <v>6</v>
      </c>
      <c r="U30" s="172">
        <v>6</v>
      </c>
      <c r="V30" s="791"/>
      <c r="W30" s="261">
        <v>7</v>
      </c>
      <c r="X30" s="381">
        <v>7</v>
      </c>
      <c r="Y30" s="160">
        <v>7</v>
      </c>
      <c r="Z30" s="736"/>
      <c r="AA30" s="260">
        <v>6</v>
      </c>
      <c r="AB30" s="382">
        <v>6</v>
      </c>
      <c r="AC30" s="175">
        <v>6</v>
      </c>
      <c r="AD30" s="161"/>
      <c r="AE30" s="162"/>
      <c r="AF30" s="163"/>
      <c r="AG30" s="163"/>
      <c r="AH30" s="163"/>
      <c r="AI30" s="163"/>
      <c r="AJ30" s="163"/>
      <c r="AK30" s="163"/>
      <c r="AL30" s="163"/>
      <c r="AM30" s="766"/>
    </row>
    <row r="31" spans="1:40" ht="18" customHeight="1" x14ac:dyDescent="0.25">
      <c r="A31" s="600"/>
      <c r="B31" s="663">
        <v>6</v>
      </c>
      <c r="C31" s="1031" t="s">
        <v>65</v>
      </c>
      <c r="D31" s="1034">
        <f>COUNT(K34,O34,S34,W34,AA34)</f>
        <v>5</v>
      </c>
      <c r="E31" s="1035">
        <f>COUNT(L34,P34,T34,X34,AB34)</f>
        <v>5</v>
      </c>
      <c r="F31" s="1038">
        <f>COUNT(M34,Q34,U34,Y34,AC34)</f>
        <v>5</v>
      </c>
      <c r="G31" s="1040">
        <f>SUM(K34,O34,S34,W34,AA34)</f>
        <v>32</v>
      </c>
      <c r="H31" s="663">
        <f>SUM(L34,P34,T34,X34,AB34)</f>
        <v>32</v>
      </c>
      <c r="I31" s="656">
        <f>SUM(M34,Q34,U34,Y34,AC34)</f>
        <v>32</v>
      </c>
      <c r="J31" s="589">
        <v>6</v>
      </c>
      <c r="K31" s="587"/>
      <c r="L31" s="606"/>
      <c r="M31" s="606"/>
      <c r="N31" s="589">
        <v>7</v>
      </c>
      <c r="O31" s="587"/>
      <c r="P31" s="606"/>
      <c r="Q31" s="606"/>
      <c r="R31" s="589">
        <v>8</v>
      </c>
      <c r="S31" s="587"/>
      <c r="T31" s="606"/>
      <c r="U31" s="607"/>
      <c r="V31" s="589">
        <v>9</v>
      </c>
      <c r="W31" s="587"/>
      <c r="X31" s="606"/>
      <c r="Y31" s="607"/>
      <c r="Z31" s="589">
        <v>10</v>
      </c>
      <c r="AA31" s="557"/>
      <c r="AB31" s="558"/>
      <c r="AC31" s="559"/>
      <c r="AD31" s="177"/>
      <c r="AE31" s="157"/>
      <c r="AF31" s="158"/>
      <c r="AG31" s="158"/>
      <c r="AH31" s="158"/>
      <c r="AI31" s="158"/>
      <c r="AJ31" s="158"/>
      <c r="AK31" s="155"/>
      <c r="AL31" s="155"/>
      <c r="AM31" s="751"/>
    </row>
    <row r="32" spans="1:40" ht="18" customHeight="1" x14ac:dyDescent="0.25">
      <c r="A32" s="600"/>
      <c r="B32" s="663"/>
      <c r="C32" s="1032"/>
      <c r="D32" s="671"/>
      <c r="E32" s="663"/>
      <c r="F32" s="910"/>
      <c r="G32" s="1040"/>
      <c r="H32" s="663"/>
      <c r="I32" s="656"/>
      <c r="J32" s="589"/>
      <c r="K32" s="713"/>
      <c r="L32" s="714"/>
      <c r="M32" s="715"/>
      <c r="N32" s="589"/>
      <c r="O32" s="880"/>
      <c r="P32" s="881"/>
      <c r="Q32" s="881"/>
      <c r="R32" s="589"/>
      <c r="S32" s="593"/>
      <c r="T32" s="594"/>
      <c r="U32" s="595"/>
      <c r="V32" s="589"/>
      <c r="W32" s="593"/>
      <c r="X32" s="594"/>
      <c r="Y32" s="595"/>
      <c r="Z32" s="589"/>
      <c r="AA32" s="542"/>
      <c r="AB32" s="543"/>
      <c r="AC32" s="544"/>
      <c r="AD32" s="151"/>
      <c r="AE32" s="152"/>
      <c r="AF32" s="153"/>
      <c r="AG32" s="153"/>
      <c r="AH32" s="153"/>
      <c r="AI32" s="153"/>
      <c r="AJ32" s="153"/>
      <c r="AK32" s="155"/>
      <c r="AL32" s="153"/>
      <c r="AM32" s="751"/>
    </row>
    <row r="33" spans="1:47" ht="18" customHeight="1" x14ac:dyDescent="0.25">
      <c r="A33" s="600"/>
      <c r="B33" s="663"/>
      <c r="C33" s="1032"/>
      <c r="D33" s="671"/>
      <c r="E33" s="663"/>
      <c r="F33" s="910"/>
      <c r="G33" s="1040"/>
      <c r="H33" s="663"/>
      <c r="I33" s="656"/>
      <c r="J33" s="589"/>
      <c r="K33" s="509"/>
      <c r="L33" s="510"/>
      <c r="M33" s="511"/>
      <c r="N33" s="589"/>
      <c r="O33" s="593"/>
      <c r="P33" s="594"/>
      <c r="Q33" s="594"/>
      <c r="R33" s="589"/>
      <c r="S33" s="593"/>
      <c r="T33" s="594"/>
      <c r="U33" s="595"/>
      <c r="V33" s="589"/>
      <c r="W33" s="593"/>
      <c r="X33" s="594"/>
      <c r="Y33" s="595"/>
      <c r="Z33" s="589"/>
      <c r="AA33" s="539"/>
      <c r="AB33" s="540"/>
      <c r="AC33" s="541"/>
      <c r="AD33" s="151"/>
      <c r="AE33" s="152"/>
      <c r="AF33" s="153"/>
      <c r="AG33" s="153"/>
      <c r="AH33" s="153"/>
      <c r="AI33" s="153"/>
      <c r="AJ33" s="153"/>
      <c r="AK33" s="155"/>
      <c r="AL33" s="153"/>
      <c r="AM33" s="751"/>
    </row>
    <row r="34" spans="1:47" ht="18" customHeight="1" x14ac:dyDescent="0.25">
      <c r="A34" s="600"/>
      <c r="B34" s="664"/>
      <c r="C34" s="1033"/>
      <c r="D34" s="672"/>
      <c r="E34" s="664"/>
      <c r="F34" s="917"/>
      <c r="G34" s="1041"/>
      <c r="H34" s="664"/>
      <c r="I34" s="657"/>
      <c r="J34" s="635"/>
      <c r="K34" s="171">
        <v>6</v>
      </c>
      <c r="L34" s="171">
        <v>6</v>
      </c>
      <c r="M34" s="175">
        <v>6</v>
      </c>
      <c r="N34" s="635"/>
      <c r="O34" s="171">
        <v>7</v>
      </c>
      <c r="P34" s="171">
        <v>7</v>
      </c>
      <c r="Q34" s="175">
        <v>7</v>
      </c>
      <c r="R34" s="635"/>
      <c r="S34" s="171">
        <v>6</v>
      </c>
      <c r="T34" s="171">
        <v>6</v>
      </c>
      <c r="U34" s="172">
        <v>6</v>
      </c>
      <c r="V34" s="635"/>
      <c r="W34" s="171">
        <v>7</v>
      </c>
      <c r="X34" s="171">
        <v>7</v>
      </c>
      <c r="Y34" s="172">
        <v>7</v>
      </c>
      <c r="Z34" s="635"/>
      <c r="AA34" s="178">
        <v>6</v>
      </c>
      <c r="AB34" s="178">
        <v>6</v>
      </c>
      <c r="AC34" s="179">
        <v>6</v>
      </c>
      <c r="AD34" s="173"/>
      <c r="AE34" s="211"/>
      <c r="AF34" s="212"/>
      <c r="AG34" s="212"/>
      <c r="AH34" s="212"/>
      <c r="AI34" s="212"/>
      <c r="AJ34" s="212"/>
      <c r="AK34" s="212"/>
      <c r="AL34" s="212"/>
      <c r="AM34" s="766"/>
    </row>
    <row r="35" spans="1:47" ht="18" customHeight="1" x14ac:dyDescent="0.25">
      <c r="A35" s="600"/>
      <c r="B35" s="665">
        <v>7</v>
      </c>
      <c r="C35" s="915" t="s">
        <v>66</v>
      </c>
      <c r="D35" s="672">
        <f>COUNT(K38,O38,S38,W38,AA38)</f>
        <v>5</v>
      </c>
      <c r="E35" s="664">
        <f>COUNT(L38,P38,T38,X38,AB38)</f>
        <v>5</v>
      </c>
      <c r="F35" s="917">
        <f>COUNT(M38,Q38,U38,Y38,AC38)</f>
        <v>5</v>
      </c>
      <c r="G35" s="1020">
        <f>SUM(K38,O38,S38,W38,AA38)</f>
        <v>32</v>
      </c>
      <c r="H35" s="665">
        <f>SUM(L38,P38,T38,X38,AB38)</f>
        <v>32</v>
      </c>
      <c r="I35" s="655">
        <f>SUM(M38,Q38,U38,Y38,AC38)</f>
        <v>32</v>
      </c>
      <c r="J35" s="1028">
        <v>13</v>
      </c>
      <c r="K35" s="630"/>
      <c r="L35" s="631"/>
      <c r="M35" s="632"/>
      <c r="N35" s="588">
        <v>14</v>
      </c>
      <c r="O35" s="487"/>
      <c r="P35" s="488"/>
      <c r="Q35" s="489"/>
      <c r="R35" s="835">
        <v>15</v>
      </c>
      <c r="S35" s="587"/>
      <c r="T35" s="606"/>
      <c r="U35" s="607"/>
      <c r="V35" s="588">
        <v>16</v>
      </c>
      <c r="W35" s="487"/>
      <c r="X35" s="488"/>
      <c r="Y35" s="489"/>
      <c r="Z35" s="588">
        <v>17</v>
      </c>
      <c r="AA35" s="536"/>
      <c r="AB35" s="537"/>
      <c r="AC35" s="538"/>
      <c r="AD35" s="180"/>
      <c r="AE35" s="157"/>
      <c r="AF35" s="158"/>
      <c r="AG35" s="158"/>
      <c r="AH35" s="158"/>
      <c r="AI35" s="158"/>
      <c r="AJ35" s="158"/>
      <c r="AK35" s="155"/>
      <c r="AL35" s="155"/>
      <c r="AM35" s="756"/>
    </row>
    <row r="36" spans="1:47" ht="18" customHeight="1" x14ac:dyDescent="0.25">
      <c r="A36" s="600"/>
      <c r="B36" s="663"/>
      <c r="C36" s="893"/>
      <c r="D36" s="916"/>
      <c r="E36" s="906"/>
      <c r="F36" s="918"/>
      <c r="G36" s="671"/>
      <c r="H36" s="663"/>
      <c r="I36" s="656"/>
      <c r="J36" s="1029"/>
      <c r="K36" s="521"/>
      <c r="L36" s="1026"/>
      <c r="M36" s="1027"/>
      <c r="N36" s="589"/>
      <c r="O36" s="593"/>
      <c r="P36" s="594"/>
      <c r="Q36" s="595"/>
      <c r="R36" s="835"/>
      <c r="S36" s="590"/>
      <c r="T36" s="591"/>
      <c r="U36" s="592"/>
      <c r="V36" s="589"/>
      <c r="W36" s="593"/>
      <c r="X36" s="594"/>
      <c r="Y36" s="595"/>
      <c r="Z36" s="589"/>
      <c r="AA36" s="608"/>
      <c r="AB36" s="609"/>
      <c r="AC36" s="610"/>
      <c r="AD36" s="151"/>
      <c r="AE36" s="152"/>
      <c r="AF36" s="153"/>
      <c r="AG36" s="153"/>
      <c r="AH36" s="153"/>
      <c r="AI36" s="153"/>
      <c r="AJ36" s="153"/>
      <c r="AK36" s="155"/>
      <c r="AL36" s="153"/>
      <c r="AM36" s="757"/>
    </row>
    <row r="37" spans="1:47" ht="18" customHeight="1" x14ac:dyDescent="0.25">
      <c r="A37" s="600"/>
      <c r="B37" s="663"/>
      <c r="C37" s="893"/>
      <c r="D37" s="916"/>
      <c r="E37" s="906"/>
      <c r="F37" s="918"/>
      <c r="G37" s="671"/>
      <c r="H37" s="663"/>
      <c r="I37" s="656"/>
      <c r="J37" s="1029"/>
      <c r="K37" s="509"/>
      <c r="L37" s="510"/>
      <c r="M37" s="511"/>
      <c r="N37" s="589"/>
      <c r="O37" s="593"/>
      <c r="P37" s="594"/>
      <c r="Q37" s="595"/>
      <c r="R37" s="835"/>
      <c r="S37" s="181"/>
      <c r="T37" s="181"/>
      <c r="U37" s="181"/>
      <c r="V37" s="589"/>
      <c r="W37" s="593"/>
      <c r="X37" s="594"/>
      <c r="Y37" s="595"/>
      <c r="Z37" s="589"/>
      <c r="AA37" s="587"/>
      <c r="AB37" s="606"/>
      <c r="AC37" s="607"/>
      <c r="AD37" s="151"/>
      <c r="AE37" s="152"/>
      <c r="AF37" s="153"/>
      <c r="AG37" s="153"/>
      <c r="AH37" s="153"/>
      <c r="AI37" s="153"/>
      <c r="AJ37" s="153"/>
      <c r="AK37" s="155"/>
      <c r="AL37" s="153"/>
      <c r="AM37" s="757"/>
    </row>
    <row r="38" spans="1:47" ht="18" customHeight="1" x14ac:dyDescent="0.25">
      <c r="A38" s="600"/>
      <c r="B38" s="664"/>
      <c r="C38" s="894"/>
      <c r="D38" s="916"/>
      <c r="E38" s="906"/>
      <c r="F38" s="918"/>
      <c r="G38" s="672"/>
      <c r="H38" s="664"/>
      <c r="I38" s="657"/>
      <c r="J38" s="1030"/>
      <c r="K38" s="171">
        <v>6</v>
      </c>
      <c r="L38" s="171">
        <v>6</v>
      </c>
      <c r="M38" s="175">
        <v>6</v>
      </c>
      <c r="N38" s="635"/>
      <c r="O38" s="171">
        <v>7</v>
      </c>
      <c r="P38" s="171">
        <v>7</v>
      </c>
      <c r="Q38" s="175">
        <v>7</v>
      </c>
      <c r="R38" s="836"/>
      <c r="S38" s="171">
        <v>6</v>
      </c>
      <c r="T38" s="171">
        <v>6</v>
      </c>
      <c r="U38" s="175">
        <v>6</v>
      </c>
      <c r="V38" s="589"/>
      <c r="W38" s="178">
        <v>7</v>
      </c>
      <c r="X38" s="178">
        <v>7</v>
      </c>
      <c r="Y38" s="179">
        <v>7</v>
      </c>
      <c r="Z38" s="589"/>
      <c r="AA38" s="178">
        <v>6</v>
      </c>
      <c r="AB38" s="178">
        <v>6</v>
      </c>
      <c r="AC38" s="179">
        <v>6</v>
      </c>
      <c r="AD38" s="173"/>
      <c r="AE38" s="211"/>
      <c r="AF38" s="212"/>
      <c r="AG38" s="212"/>
      <c r="AH38" s="212"/>
      <c r="AI38" s="212"/>
      <c r="AJ38" s="212"/>
      <c r="AK38" s="212"/>
      <c r="AL38" s="212"/>
      <c r="AM38" s="758"/>
    </row>
    <row r="39" spans="1:47" ht="18" customHeight="1" x14ac:dyDescent="0.25">
      <c r="A39" s="600"/>
      <c r="B39" s="665">
        <v>8</v>
      </c>
      <c r="C39" s="1038" t="s">
        <v>68</v>
      </c>
      <c r="D39" s="1020">
        <f>COUNT(K42,O42,S42,W42,AA42)</f>
        <v>5</v>
      </c>
      <c r="E39" s="665">
        <f>COUNT(L42,P42,T42,X42,AB42)</f>
        <v>5</v>
      </c>
      <c r="F39" s="1039">
        <f>COUNT(M42,Q42,U42,Y42,AC42)</f>
        <v>5</v>
      </c>
      <c r="G39" s="1020">
        <f>SUM(K42,O42,S42,W42,AA42)</f>
        <v>23</v>
      </c>
      <c r="H39" s="665">
        <f>SUM(L42,P42,T42,X42,AB42)</f>
        <v>23</v>
      </c>
      <c r="I39" s="655">
        <f>SUM(M42,Q42,U42,Y42,AC42)</f>
        <v>25</v>
      </c>
      <c r="J39" s="1211">
        <v>20</v>
      </c>
      <c r="K39" s="487"/>
      <c r="L39" s="488"/>
      <c r="M39" s="489"/>
      <c r="N39" s="588">
        <v>21</v>
      </c>
      <c r="O39" s="746"/>
      <c r="P39" s="746"/>
      <c r="Q39" s="747"/>
      <c r="R39" s="588">
        <v>22</v>
      </c>
      <c r="S39" s="586"/>
      <c r="T39" s="586"/>
      <c r="U39" s="587"/>
      <c r="V39" s="596">
        <v>23</v>
      </c>
      <c r="W39" s="409" t="s">
        <v>134</v>
      </c>
      <c r="X39" s="406" t="s">
        <v>135</v>
      </c>
      <c r="Y39" s="409" t="s">
        <v>134</v>
      </c>
      <c r="Z39" s="596">
        <v>24</v>
      </c>
      <c r="AA39" s="409" t="s">
        <v>134</v>
      </c>
      <c r="AB39" s="551" t="s">
        <v>135</v>
      </c>
      <c r="AC39" s="409" t="s">
        <v>133</v>
      </c>
      <c r="AD39" s="156"/>
      <c r="AE39" s="182"/>
      <c r="AF39" s="183"/>
      <c r="AG39" s="183"/>
      <c r="AH39" s="183"/>
      <c r="AI39" s="184"/>
      <c r="AJ39" s="184"/>
      <c r="AK39" s="184"/>
      <c r="AL39" s="184"/>
      <c r="AM39" s="759" t="s">
        <v>118</v>
      </c>
    </row>
    <row r="40" spans="1:47" ht="18" customHeight="1" x14ac:dyDescent="0.25">
      <c r="A40" s="600"/>
      <c r="B40" s="663"/>
      <c r="C40" s="668"/>
      <c r="D40" s="671"/>
      <c r="E40" s="663"/>
      <c r="F40" s="910"/>
      <c r="G40" s="671"/>
      <c r="H40" s="663"/>
      <c r="I40" s="656"/>
      <c r="J40" s="641"/>
      <c r="K40" s="1217"/>
      <c r="L40" s="504"/>
      <c r="M40" s="505"/>
      <c r="N40" s="589"/>
      <c r="O40" s="490"/>
      <c r="P40" s="490"/>
      <c r="Q40" s="491"/>
      <c r="R40" s="589"/>
      <c r="S40" s="490"/>
      <c r="T40" s="490"/>
      <c r="U40" s="593"/>
      <c r="V40" s="597"/>
      <c r="W40" s="410"/>
      <c r="X40" s="407"/>
      <c r="Y40" s="410"/>
      <c r="Z40" s="597"/>
      <c r="AA40" s="410"/>
      <c r="AB40" s="552"/>
      <c r="AC40" s="410"/>
      <c r="AD40" s="151"/>
      <c r="AE40" s="213"/>
      <c r="AF40" s="185"/>
      <c r="AG40" s="185"/>
      <c r="AH40" s="185"/>
      <c r="AI40" s="185"/>
      <c r="AJ40" s="185"/>
      <c r="AK40" s="154"/>
      <c r="AL40" s="186"/>
      <c r="AM40" s="760"/>
    </row>
    <row r="41" spans="1:47" ht="18" customHeight="1" x14ac:dyDescent="0.25">
      <c r="A41" s="600"/>
      <c r="B41" s="663"/>
      <c r="C41" s="668"/>
      <c r="D41" s="671"/>
      <c r="E41" s="663"/>
      <c r="F41" s="910"/>
      <c r="G41" s="671"/>
      <c r="H41" s="663"/>
      <c r="I41" s="656"/>
      <c r="J41" s="641"/>
      <c r="K41" s="509"/>
      <c r="L41" s="723"/>
      <c r="M41" s="724"/>
      <c r="N41" s="589"/>
      <c r="O41" s="490"/>
      <c r="P41" s="490"/>
      <c r="Q41" s="491"/>
      <c r="R41" s="589"/>
      <c r="S41" s="490"/>
      <c r="T41" s="490"/>
      <c r="U41" s="593"/>
      <c r="V41" s="597"/>
      <c r="W41" s="411"/>
      <c r="X41" s="408"/>
      <c r="Y41" s="411"/>
      <c r="Z41" s="597"/>
      <c r="AA41" s="411"/>
      <c r="AB41" s="553"/>
      <c r="AC41" s="411"/>
      <c r="AD41" s="403"/>
      <c r="AE41" s="213"/>
      <c r="AF41" s="185"/>
      <c r="AG41" s="185"/>
      <c r="AH41" s="185"/>
      <c r="AI41" s="185"/>
      <c r="AJ41" s="185"/>
      <c r="AK41" s="155"/>
      <c r="AL41" s="186"/>
      <c r="AM41" s="760"/>
    </row>
    <row r="42" spans="1:47" ht="18" customHeight="1" x14ac:dyDescent="0.25">
      <c r="A42" s="600"/>
      <c r="B42" s="664"/>
      <c r="C42" s="1201"/>
      <c r="D42" s="672"/>
      <c r="E42" s="664"/>
      <c r="F42" s="917"/>
      <c r="G42" s="672"/>
      <c r="H42" s="664"/>
      <c r="I42" s="657"/>
      <c r="J42" s="642"/>
      <c r="K42" s="171">
        <v>6</v>
      </c>
      <c r="L42" s="171">
        <v>6</v>
      </c>
      <c r="M42" s="175">
        <v>6</v>
      </c>
      <c r="N42" s="589"/>
      <c r="O42" s="171">
        <v>7</v>
      </c>
      <c r="P42" s="171">
        <v>7</v>
      </c>
      <c r="Q42" s="175">
        <v>7</v>
      </c>
      <c r="R42" s="589"/>
      <c r="S42" s="171">
        <v>6</v>
      </c>
      <c r="T42" s="171">
        <v>6</v>
      </c>
      <c r="U42" s="175">
        <v>6</v>
      </c>
      <c r="V42" s="598"/>
      <c r="W42" s="340">
        <v>2</v>
      </c>
      <c r="X42" s="340">
        <v>2</v>
      </c>
      <c r="Y42" s="341">
        <v>3</v>
      </c>
      <c r="Z42" s="598"/>
      <c r="AA42" s="340">
        <v>2</v>
      </c>
      <c r="AB42" s="405">
        <v>2</v>
      </c>
      <c r="AC42" s="341">
        <v>3</v>
      </c>
      <c r="AD42" s="173"/>
      <c r="AE42" s="211"/>
      <c r="AF42" s="212"/>
      <c r="AG42" s="212"/>
      <c r="AH42" s="212"/>
      <c r="AI42" s="212"/>
      <c r="AJ42" s="212"/>
      <c r="AK42" s="212"/>
      <c r="AL42" s="212"/>
      <c r="AM42" s="761"/>
    </row>
    <row r="43" spans="1:47" ht="18" customHeight="1" x14ac:dyDescent="0.25">
      <c r="A43" s="600"/>
      <c r="B43" s="665">
        <v>9</v>
      </c>
      <c r="C43" s="1038" t="s">
        <v>69</v>
      </c>
      <c r="D43" s="1020">
        <f>COUNT(K46,O46,S46,W46,AA46)</f>
        <v>4</v>
      </c>
      <c r="E43" s="665">
        <f>COUNT(L46,P46,T46,X46,AB46)</f>
        <v>4</v>
      </c>
      <c r="F43" s="1039">
        <f>COUNT(M46,Q46,U46,Y46,AC46)</f>
        <v>4</v>
      </c>
      <c r="G43" s="1020">
        <f>SUM(K46,O46,S46,W46,AA46)</f>
        <v>13</v>
      </c>
      <c r="H43" s="665">
        <f>SUM(L46,P46,T46,X46,AB46)</f>
        <v>13</v>
      </c>
      <c r="I43" s="655">
        <f>SUM(M46,Q46,U46,Y46,AC46)</f>
        <v>16</v>
      </c>
      <c r="J43" s="1218">
        <v>27</v>
      </c>
      <c r="K43" s="619"/>
      <c r="L43" s="619"/>
      <c r="M43" s="620"/>
      <c r="N43" s="616">
        <v>28</v>
      </c>
      <c r="O43" s="619"/>
      <c r="P43" s="619"/>
      <c r="Q43" s="620"/>
      <c r="R43" s="616">
        <v>29</v>
      </c>
      <c r="S43" s="619"/>
      <c r="T43" s="619"/>
      <c r="U43" s="620"/>
      <c r="V43" s="580">
        <v>30</v>
      </c>
      <c r="W43" s="587"/>
      <c r="X43" s="606"/>
      <c r="Y43" s="607"/>
      <c r="Z43" s="582"/>
      <c r="AA43" s="527"/>
      <c r="AB43" s="527"/>
      <c r="AC43" s="528"/>
      <c r="AD43" s="156"/>
      <c r="AE43" s="157"/>
      <c r="AF43" s="158"/>
      <c r="AG43" s="158"/>
      <c r="AH43" s="158"/>
      <c r="AI43" s="158"/>
      <c r="AJ43" s="158"/>
      <c r="AK43" s="155"/>
      <c r="AL43" s="155"/>
      <c r="AM43" s="684" t="s">
        <v>119</v>
      </c>
    </row>
    <row r="44" spans="1:47" ht="18" customHeight="1" x14ac:dyDescent="0.25">
      <c r="A44" s="600"/>
      <c r="B44" s="663"/>
      <c r="C44" s="668"/>
      <c r="D44" s="671"/>
      <c r="E44" s="663"/>
      <c r="F44" s="910"/>
      <c r="G44" s="671"/>
      <c r="H44" s="663"/>
      <c r="I44" s="656"/>
      <c r="J44" s="1219"/>
      <c r="K44" s="584" t="s">
        <v>26</v>
      </c>
      <c r="L44" s="584"/>
      <c r="M44" s="585"/>
      <c r="N44" s="617"/>
      <c r="O44" s="584" t="s">
        <v>26</v>
      </c>
      <c r="P44" s="584"/>
      <c r="Q44" s="585"/>
      <c r="R44" s="617"/>
      <c r="S44" s="584" t="s">
        <v>26</v>
      </c>
      <c r="T44" s="584"/>
      <c r="U44" s="585"/>
      <c r="V44" s="580"/>
      <c r="W44" s="695"/>
      <c r="X44" s="696"/>
      <c r="Y44" s="697"/>
      <c r="Z44" s="582"/>
      <c r="AA44" s="531"/>
      <c r="AB44" s="531"/>
      <c r="AC44" s="532"/>
      <c r="AD44" s="151"/>
      <c r="AE44" s="152"/>
      <c r="AF44" s="153"/>
      <c r="AG44" s="153"/>
      <c r="AH44" s="153"/>
      <c r="AI44" s="153"/>
      <c r="AJ44" s="153"/>
      <c r="AK44" s="155"/>
      <c r="AL44" s="153"/>
      <c r="AM44" s="685"/>
    </row>
    <row r="45" spans="1:47" ht="18" customHeight="1" x14ac:dyDescent="0.25">
      <c r="A45" s="600"/>
      <c r="B45" s="663"/>
      <c r="C45" s="668"/>
      <c r="D45" s="671"/>
      <c r="E45" s="663"/>
      <c r="F45" s="910"/>
      <c r="G45" s="671"/>
      <c r="H45" s="663"/>
      <c r="I45" s="656"/>
      <c r="J45" s="1219"/>
      <c r="K45" s="572"/>
      <c r="L45" s="572"/>
      <c r="M45" s="573"/>
      <c r="N45" s="617"/>
      <c r="O45" s="572"/>
      <c r="P45" s="572"/>
      <c r="Q45" s="573"/>
      <c r="R45" s="617"/>
      <c r="S45" s="572"/>
      <c r="T45" s="572"/>
      <c r="U45" s="573"/>
      <c r="V45" s="580"/>
      <c r="W45" s="593"/>
      <c r="X45" s="594"/>
      <c r="Y45" s="595"/>
      <c r="Z45" s="582"/>
      <c r="AA45" s="529"/>
      <c r="AB45" s="529"/>
      <c r="AC45" s="530"/>
      <c r="AD45" s="151"/>
      <c r="AE45" s="152"/>
      <c r="AF45" s="153"/>
      <c r="AG45" s="153"/>
      <c r="AH45" s="153"/>
      <c r="AI45" s="153"/>
      <c r="AJ45" s="153"/>
      <c r="AK45" s="155"/>
      <c r="AL45" s="153"/>
      <c r="AM45" s="685"/>
    </row>
    <row r="46" spans="1:47" ht="18" customHeight="1" thickBot="1" x14ac:dyDescent="0.3">
      <c r="A46" s="601"/>
      <c r="B46" s="666"/>
      <c r="C46" s="1202"/>
      <c r="D46" s="1060"/>
      <c r="E46" s="666"/>
      <c r="F46" s="1203"/>
      <c r="G46" s="1060"/>
      <c r="H46" s="666"/>
      <c r="I46" s="1071"/>
      <c r="J46" s="1220"/>
      <c r="K46" s="338">
        <v>2</v>
      </c>
      <c r="L46" s="338">
        <v>2</v>
      </c>
      <c r="M46" s="339">
        <v>3</v>
      </c>
      <c r="N46" s="618"/>
      <c r="O46" s="338">
        <v>2</v>
      </c>
      <c r="P46" s="338">
        <v>2</v>
      </c>
      <c r="Q46" s="339">
        <v>3</v>
      </c>
      <c r="R46" s="618"/>
      <c r="S46" s="338">
        <v>2</v>
      </c>
      <c r="T46" s="338">
        <v>2</v>
      </c>
      <c r="U46" s="339">
        <v>3</v>
      </c>
      <c r="V46" s="581"/>
      <c r="W46" s="360">
        <v>7</v>
      </c>
      <c r="X46" s="360">
        <v>7</v>
      </c>
      <c r="Y46" s="361">
        <v>7</v>
      </c>
      <c r="Z46" s="583"/>
      <c r="AA46" s="222"/>
      <c r="AB46" s="222"/>
      <c r="AC46" s="223"/>
      <c r="AD46" s="224"/>
      <c r="AE46" s="225"/>
      <c r="AF46" s="226"/>
      <c r="AG46" s="226"/>
      <c r="AH46" s="226"/>
      <c r="AI46" s="226"/>
      <c r="AJ46" s="226"/>
      <c r="AK46" s="226"/>
      <c r="AL46" s="226"/>
      <c r="AM46" s="685"/>
      <c r="AU46" s="404"/>
    </row>
    <row r="47" spans="1:47" ht="18" customHeight="1" x14ac:dyDescent="0.25">
      <c r="A47" s="599">
        <v>5</v>
      </c>
      <c r="B47" s="662">
        <v>9</v>
      </c>
      <c r="C47" s="667">
        <v>1</v>
      </c>
      <c r="D47" s="670">
        <f>COUNT(K50,O50,S50,W50,AA50)</f>
        <v>0</v>
      </c>
      <c r="E47" s="662">
        <f>COUNT(L50,P50,T50,X50,AB50)</f>
        <v>0</v>
      </c>
      <c r="F47" s="667">
        <f>COUNT(M50,Q50,U50,Y50,AC50)</f>
        <v>0</v>
      </c>
      <c r="G47" s="670">
        <f>SUM(K50,O50,S50,W50,AA50)</f>
        <v>0</v>
      </c>
      <c r="H47" s="662">
        <f>SUM(L50,P50,T50,X50,AB50)</f>
        <v>0</v>
      </c>
      <c r="I47" s="1036">
        <f>SUM(M50,Q50,U50,Y50,AC50)</f>
        <v>0</v>
      </c>
      <c r="J47" s="640"/>
      <c r="K47" s="644"/>
      <c r="L47" s="644"/>
      <c r="M47" s="645"/>
      <c r="N47" s="634"/>
      <c r="O47" s="574"/>
      <c r="P47" s="575"/>
      <c r="Q47" s="576"/>
      <c r="R47" s="634"/>
      <c r="S47" s="574"/>
      <c r="T47" s="575"/>
      <c r="U47" s="576"/>
      <c r="V47" s="636"/>
      <c r="W47" s="742"/>
      <c r="X47" s="743"/>
      <c r="Y47" s="744"/>
      <c r="Z47" s="792">
        <v>1</v>
      </c>
      <c r="AA47" s="548"/>
      <c r="AB47" s="549"/>
      <c r="AC47" s="550"/>
      <c r="AD47" s="252"/>
      <c r="AE47" s="219"/>
      <c r="AF47" s="220"/>
      <c r="AG47" s="220"/>
      <c r="AH47" s="220"/>
      <c r="AI47" s="220"/>
      <c r="AJ47" s="220"/>
      <c r="AK47" s="221"/>
      <c r="AL47" s="221"/>
      <c r="AM47" s="780"/>
    </row>
    <row r="48" spans="1:47" ht="18" customHeight="1" x14ac:dyDescent="0.25">
      <c r="A48" s="600"/>
      <c r="B48" s="663"/>
      <c r="C48" s="668"/>
      <c r="D48" s="671"/>
      <c r="E48" s="663"/>
      <c r="F48" s="910"/>
      <c r="G48" s="671"/>
      <c r="H48" s="663"/>
      <c r="I48" s="656"/>
      <c r="J48" s="641"/>
      <c r="K48" s="504"/>
      <c r="L48" s="504"/>
      <c r="M48" s="505"/>
      <c r="N48" s="589"/>
      <c r="O48" s="490"/>
      <c r="P48" s="490"/>
      <c r="Q48" s="491"/>
      <c r="R48" s="589"/>
      <c r="S48" s="490"/>
      <c r="T48" s="490"/>
      <c r="U48" s="491"/>
      <c r="V48" s="611"/>
      <c r="W48" s="745"/>
      <c r="X48" s="745"/>
      <c r="Y48" s="695"/>
      <c r="Z48" s="793"/>
      <c r="AA48" s="533" t="s">
        <v>131</v>
      </c>
      <c r="AB48" s="534"/>
      <c r="AC48" s="535"/>
      <c r="AD48" s="151"/>
      <c r="AE48" s="152"/>
      <c r="AF48" s="153"/>
      <c r="AG48" s="153"/>
      <c r="AH48" s="153"/>
      <c r="AI48" s="153"/>
      <c r="AJ48" s="153"/>
      <c r="AK48" s="154"/>
      <c r="AL48" s="153"/>
      <c r="AM48" s="751"/>
    </row>
    <row r="49" spans="1:41" ht="18" customHeight="1" x14ac:dyDescent="0.25">
      <c r="A49" s="600"/>
      <c r="B49" s="663"/>
      <c r="C49" s="668"/>
      <c r="D49" s="671"/>
      <c r="E49" s="663"/>
      <c r="F49" s="910"/>
      <c r="G49" s="671"/>
      <c r="H49" s="663"/>
      <c r="I49" s="656"/>
      <c r="J49" s="641"/>
      <c r="K49" s="643"/>
      <c r="L49" s="643"/>
      <c r="M49" s="509"/>
      <c r="N49" s="589"/>
      <c r="O49" s="577"/>
      <c r="P49" s="578"/>
      <c r="Q49" s="579"/>
      <c r="R49" s="589"/>
      <c r="S49" s="577"/>
      <c r="T49" s="578"/>
      <c r="U49" s="579"/>
      <c r="V49" s="458"/>
      <c r="W49" s="587"/>
      <c r="X49" s="606"/>
      <c r="Y49" s="607"/>
      <c r="Z49" s="794"/>
      <c r="AA49" s="545"/>
      <c r="AB49" s="546"/>
      <c r="AC49" s="547"/>
      <c r="AD49" s="151"/>
      <c r="AE49" s="152"/>
      <c r="AF49" s="153"/>
      <c r="AG49" s="153"/>
      <c r="AH49" s="153"/>
      <c r="AI49" s="153"/>
      <c r="AJ49" s="153"/>
      <c r="AK49" s="155"/>
      <c r="AL49" s="153"/>
      <c r="AM49" s="751"/>
    </row>
    <row r="50" spans="1:41" ht="18" customHeight="1" x14ac:dyDescent="0.25">
      <c r="A50" s="600"/>
      <c r="B50" s="664"/>
      <c r="C50" s="669"/>
      <c r="D50" s="672"/>
      <c r="E50" s="664"/>
      <c r="F50" s="917"/>
      <c r="G50" s="672"/>
      <c r="H50" s="664"/>
      <c r="I50" s="657"/>
      <c r="J50" s="642"/>
      <c r="K50" s="171"/>
      <c r="L50" s="171"/>
      <c r="M50" s="172"/>
      <c r="N50" s="635"/>
      <c r="O50" s="171"/>
      <c r="P50" s="171"/>
      <c r="Q50" s="172"/>
      <c r="R50" s="635"/>
      <c r="S50" s="171"/>
      <c r="T50" s="171"/>
      <c r="U50" s="172"/>
      <c r="V50" s="459"/>
      <c r="W50" s="171"/>
      <c r="X50" s="171"/>
      <c r="Y50" s="172"/>
      <c r="Z50" s="795"/>
      <c r="AA50" s="399"/>
      <c r="AB50" s="399"/>
      <c r="AC50" s="400"/>
      <c r="AD50" s="173"/>
      <c r="AE50" s="211"/>
      <c r="AF50" s="212"/>
      <c r="AG50" s="212"/>
      <c r="AH50" s="212"/>
      <c r="AI50" s="212"/>
      <c r="AJ50" s="212"/>
      <c r="AK50" s="212"/>
      <c r="AL50" s="212"/>
      <c r="AM50" s="752"/>
    </row>
    <row r="51" spans="1:41" ht="18" customHeight="1" x14ac:dyDescent="0.25">
      <c r="A51" s="600"/>
      <c r="B51" s="665">
        <v>10</v>
      </c>
      <c r="C51" s="1039" t="s">
        <v>72</v>
      </c>
      <c r="D51" s="1020">
        <f>COUNT(K54,O54,S54,W54,AA54)</f>
        <v>3</v>
      </c>
      <c r="E51" s="665">
        <f>COUNT(L54,P54,T54,X54,AB54)</f>
        <v>3</v>
      </c>
      <c r="F51" s="1039">
        <f>COUNT(M54,Q54,U54,Y54,AC54)</f>
        <v>3</v>
      </c>
      <c r="G51" s="1020">
        <f>SUM(K54,O54,S54,W54,AA54)</f>
        <v>19</v>
      </c>
      <c r="H51" s="665">
        <f>SUM(L54,P54,T54,X54,AB54)</f>
        <v>19</v>
      </c>
      <c r="I51" s="655">
        <f>SUM(M54,Q54,U54,Y54,AC54)</f>
        <v>19</v>
      </c>
      <c r="J51" s="1212">
        <v>4</v>
      </c>
      <c r="K51" s="545"/>
      <c r="L51" s="546"/>
      <c r="M51" s="546"/>
      <c r="N51" s="1057">
        <v>5</v>
      </c>
      <c r="O51" s="801"/>
      <c r="P51" s="802"/>
      <c r="Q51" s="803"/>
      <c r="R51" s="457">
        <v>6</v>
      </c>
      <c r="S51" s="630"/>
      <c r="T51" s="631"/>
      <c r="U51" s="632"/>
      <c r="V51" s="457">
        <v>7</v>
      </c>
      <c r="W51" s="630"/>
      <c r="X51" s="631"/>
      <c r="Y51" s="632"/>
      <c r="Z51" s="693">
        <v>8</v>
      </c>
      <c r="AA51" s="512" t="s">
        <v>25</v>
      </c>
      <c r="AB51" s="513"/>
      <c r="AC51" s="514"/>
      <c r="AD51" s="174"/>
      <c r="AE51" s="167"/>
      <c r="AF51" s="168"/>
      <c r="AG51" s="168"/>
      <c r="AH51" s="168"/>
      <c r="AI51" s="168"/>
      <c r="AJ51" s="168"/>
      <c r="AK51" s="168"/>
      <c r="AL51" s="168"/>
      <c r="AM51" s="772"/>
    </row>
    <row r="52" spans="1:41" ht="18" customHeight="1" x14ac:dyDescent="0.25">
      <c r="A52" s="600"/>
      <c r="B52" s="663"/>
      <c r="C52" s="668"/>
      <c r="D52" s="671"/>
      <c r="E52" s="663"/>
      <c r="F52" s="910"/>
      <c r="G52" s="671"/>
      <c r="H52" s="663"/>
      <c r="I52" s="656"/>
      <c r="J52" s="467"/>
      <c r="K52" s="650" t="s">
        <v>106</v>
      </c>
      <c r="L52" s="651"/>
      <c r="M52" s="652"/>
      <c r="N52" s="1058"/>
      <c r="O52" s="533" t="s">
        <v>12</v>
      </c>
      <c r="P52" s="534"/>
      <c r="Q52" s="535"/>
      <c r="R52" s="611"/>
      <c r="S52" s="832"/>
      <c r="T52" s="833"/>
      <c r="U52" s="834"/>
      <c r="V52" s="611"/>
      <c r="W52" s="593"/>
      <c r="X52" s="594"/>
      <c r="Y52" s="595"/>
      <c r="Z52" s="482"/>
      <c r="AA52" s="515"/>
      <c r="AB52" s="516"/>
      <c r="AC52" s="517"/>
      <c r="AD52" s="151"/>
      <c r="AE52" s="152"/>
      <c r="AF52" s="153"/>
      <c r="AG52" s="153"/>
      <c r="AH52" s="153"/>
      <c r="AI52" s="153"/>
      <c r="AJ52" s="153"/>
      <c r="AK52" s="153"/>
      <c r="AL52" s="153"/>
      <c r="AM52" s="751"/>
    </row>
    <row r="53" spans="1:41" ht="18" customHeight="1" x14ac:dyDescent="0.25">
      <c r="A53" s="600"/>
      <c r="B53" s="663"/>
      <c r="C53" s="668"/>
      <c r="D53" s="671"/>
      <c r="E53" s="663"/>
      <c r="F53" s="910"/>
      <c r="G53" s="671"/>
      <c r="H53" s="663"/>
      <c r="I53" s="656"/>
      <c r="J53" s="467"/>
      <c r="K53" s="1054"/>
      <c r="L53" s="1055"/>
      <c r="M53" s="1056"/>
      <c r="N53" s="1058"/>
      <c r="O53" s="1051"/>
      <c r="P53" s="1052"/>
      <c r="Q53" s="1053"/>
      <c r="R53" s="458"/>
      <c r="S53" s="504"/>
      <c r="T53" s="504"/>
      <c r="U53" s="508"/>
      <c r="V53" s="458"/>
      <c r="W53" s="739" t="s">
        <v>1</v>
      </c>
      <c r="X53" s="740"/>
      <c r="Y53" s="741"/>
      <c r="Z53" s="482"/>
      <c r="AA53" s="518"/>
      <c r="AB53" s="519"/>
      <c r="AC53" s="520"/>
      <c r="AD53" s="151"/>
      <c r="AE53" s="152"/>
      <c r="AF53" s="153"/>
      <c r="AG53" s="153"/>
      <c r="AH53" s="153"/>
      <c r="AI53" s="153"/>
      <c r="AJ53" s="153"/>
      <c r="AK53" s="153"/>
      <c r="AL53" s="153"/>
      <c r="AM53" s="751"/>
    </row>
    <row r="54" spans="1:41" ht="18" customHeight="1" x14ac:dyDescent="0.25">
      <c r="A54" s="600"/>
      <c r="B54" s="664"/>
      <c r="C54" s="1201"/>
      <c r="D54" s="672"/>
      <c r="E54" s="664"/>
      <c r="F54" s="917"/>
      <c r="G54" s="672"/>
      <c r="H54" s="664"/>
      <c r="I54" s="657"/>
      <c r="J54" s="1213"/>
      <c r="K54" s="249"/>
      <c r="L54" s="249"/>
      <c r="M54" s="250"/>
      <c r="N54" s="1059"/>
      <c r="O54" s="258"/>
      <c r="P54" s="164"/>
      <c r="Q54" s="165"/>
      <c r="R54" s="459"/>
      <c r="S54" s="171">
        <v>6</v>
      </c>
      <c r="T54" s="171">
        <v>6</v>
      </c>
      <c r="U54" s="175">
        <v>6</v>
      </c>
      <c r="V54" s="459"/>
      <c r="W54" s="171">
        <v>7</v>
      </c>
      <c r="X54" s="171">
        <v>7</v>
      </c>
      <c r="Y54" s="172">
        <v>7</v>
      </c>
      <c r="Z54" s="788"/>
      <c r="AA54" s="260">
        <v>6</v>
      </c>
      <c r="AB54" s="260">
        <v>6</v>
      </c>
      <c r="AC54" s="262">
        <v>6</v>
      </c>
      <c r="AD54" s="176"/>
      <c r="AE54" s="211"/>
      <c r="AF54" s="212"/>
      <c r="AG54" s="212"/>
      <c r="AH54" s="212"/>
      <c r="AI54" s="212"/>
      <c r="AJ54" s="212"/>
      <c r="AK54" s="212"/>
      <c r="AL54" s="212"/>
      <c r="AM54" s="766"/>
    </row>
    <row r="55" spans="1:41" ht="18" customHeight="1" x14ac:dyDescent="0.25">
      <c r="A55" s="600"/>
      <c r="B55" s="665">
        <v>11</v>
      </c>
      <c r="C55" s="1038" t="s">
        <v>73</v>
      </c>
      <c r="D55" s="1020">
        <f>COUNT(K58,O58,S58,W58,AA58)</f>
        <v>5</v>
      </c>
      <c r="E55" s="665">
        <f>COUNT(L58,P58,T58,X58,AB58)</f>
        <v>5</v>
      </c>
      <c r="F55" s="1039">
        <f>COUNT(M58,Q58,U58,Y58,AC58)</f>
        <v>5</v>
      </c>
      <c r="G55" s="1020">
        <f>SUM(K58,O58,S58,W58,AA58)</f>
        <v>32</v>
      </c>
      <c r="H55" s="665">
        <f>SUM(L58,P58,T58,X58,AB58)</f>
        <v>32</v>
      </c>
      <c r="I55" s="655">
        <f>SUM(M58,Q58,U58,Y58,AC58)</f>
        <v>32</v>
      </c>
      <c r="J55" s="457">
        <v>11</v>
      </c>
      <c r="K55" s="719"/>
      <c r="L55" s="719"/>
      <c r="M55" s="1050"/>
      <c r="N55" s="457">
        <v>12</v>
      </c>
      <c r="O55" s="719"/>
      <c r="P55" s="719"/>
      <c r="Q55" s="1050"/>
      <c r="R55" s="718">
        <v>13</v>
      </c>
      <c r="S55" s="719"/>
      <c r="T55" s="719"/>
      <c r="U55" s="720"/>
      <c r="V55" s="718">
        <v>14</v>
      </c>
      <c r="W55" s="719"/>
      <c r="X55" s="719"/>
      <c r="Y55" s="720"/>
      <c r="Z55" s="569">
        <v>15</v>
      </c>
      <c r="AA55" s="524"/>
      <c r="AB55" s="525"/>
      <c r="AC55" s="526"/>
      <c r="AD55" s="156"/>
      <c r="AE55" s="157"/>
      <c r="AF55" s="158"/>
      <c r="AG55" s="158"/>
      <c r="AH55" s="158"/>
      <c r="AI55" s="158"/>
      <c r="AJ55" s="158"/>
      <c r="AK55" s="155"/>
      <c r="AL55" s="155"/>
      <c r="AM55" s="774"/>
    </row>
    <row r="56" spans="1:41" ht="18" customHeight="1" x14ac:dyDescent="0.25">
      <c r="A56" s="600"/>
      <c r="B56" s="663"/>
      <c r="C56" s="668"/>
      <c r="D56" s="671"/>
      <c r="E56" s="663"/>
      <c r="F56" s="910"/>
      <c r="G56" s="671"/>
      <c r="H56" s="663"/>
      <c r="I56" s="656"/>
      <c r="J56" s="458"/>
      <c r="K56" s="659"/>
      <c r="L56" s="660"/>
      <c r="M56" s="661"/>
      <c r="N56" s="458"/>
      <c r="O56" s="1042"/>
      <c r="P56" s="1042"/>
      <c r="Q56" s="1043"/>
      <c r="R56" s="458"/>
      <c r="S56" s="563"/>
      <c r="T56" s="564"/>
      <c r="U56" s="565"/>
      <c r="V56" s="458"/>
      <c r="W56" s="563"/>
      <c r="X56" s="564"/>
      <c r="Y56" s="565"/>
      <c r="Z56" s="570"/>
      <c r="AA56" s="563"/>
      <c r="AB56" s="564"/>
      <c r="AC56" s="565"/>
      <c r="AD56" s="151"/>
      <c r="AE56" s="157"/>
      <c r="AF56" s="153"/>
      <c r="AG56" s="153"/>
      <c r="AH56" s="153"/>
      <c r="AI56" s="153"/>
      <c r="AJ56" s="153"/>
      <c r="AK56" s="155"/>
      <c r="AL56" s="153"/>
      <c r="AM56" s="775"/>
    </row>
    <row r="57" spans="1:41" ht="18" customHeight="1" x14ac:dyDescent="0.25">
      <c r="A57" s="600"/>
      <c r="B57" s="663"/>
      <c r="C57" s="668"/>
      <c r="D57" s="671"/>
      <c r="E57" s="663"/>
      <c r="F57" s="910"/>
      <c r="G57" s="671"/>
      <c r="H57" s="663"/>
      <c r="I57" s="656"/>
      <c r="J57" s="458"/>
      <c r="K57" s="1047"/>
      <c r="L57" s="1048"/>
      <c r="M57" s="1049"/>
      <c r="N57" s="458"/>
      <c r="O57" s="1044"/>
      <c r="P57" s="1045"/>
      <c r="Q57" s="1046"/>
      <c r="R57" s="458"/>
      <c r="S57" s="566"/>
      <c r="T57" s="567"/>
      <c r="U57" s="568"/>
      <c r="V57" s="458"/>
      <c r="W57" s="566"/>
      <c r="X57" s="567"/>
      <c r="Y57" s="568"/>
      <c r="Z57" s="570"/>
      <c r="AA57" s="238"/>
      <c r="AB57" s="238"/>
      <c r="AC57" s="238"/>
      <c r="AD57" s="151"/>
      <c r="AE57" s="157"/>
      <c r="AF57" s="153"/>
      <c r="AG57" s="153"/>
      <c r="AH57" s="153"/>
      <c r="AI57" s="153"/>
      <c r="AJ57" s="153"/>
      <c r="AK57" s="155"/>
      <c r="AL57" s="153"/>
      <c r="AM57" s="775"/>
    </row>
    <row r="58" spans="1:41" ht="18" customHeight="1" x14ac:dyDescent="0.25">
      <c r="A58" s="600"/>
      <c r="B58" s="664"/>
      <c r="C58" s="669"/>
      <c r="D58" s="672"/>
      <c r="E58" s="664"/>
      <c r="F58" s="917"/>
      <c r="G58" s="672"/>
      <c r="H58" s="664"/>
      <c r="I58" s="657"/>
      <c r="J58" s="658"/>
      <c r="K58" s="171">
        <v>6</v>
      </c>
      <c r="L58" s="171">
        <v>6</v>
      </c>
      <c r="M58" s="175">
        <v>6</v>
      </c>
      <c r="N58" s="658"/>
      <c r="O58" s="171">
        <v>7</v>
      </c>
      <c r="P58" s="171">
        <v>7</v>
      </c>
      <c r="Q58" s="175">
        <v>7</v>
      </c>
      <c r="R58" s="658"/>
      <c r="S58" s="171">
        <v>6</v>
      </c>
      <c r="T58" s="171">
        <v>6</v>
      </c>
      <c r="U58" s="175">
        <v>6</v>
      </c>
      <c r="V58" s="658"/>
      <c r="W58" s="171">
        <v>7</v>
      </c>
      <c r="X58" s="171">
        <v>7</v>
      </c>
      <c r="Y58" s="172">
        <v>7</v>
      </c>
      <c r="Z58" s="571"/>
      <c r="AA58" s="171">
        <v>6</v>
      </c>
      <c r="AB58" s="171">
        <v>6</v>
      </c>
      <c r="AC58" s="175">
        <v>6</v>
      </c>
      <c r="AD58" s="176"/>
      <c r="AE58" s="211"/>
      <c r="AF58" s="212"/>
      <c r="AG58" s="212"/>
      <c r="AH58" s="212"/>
      <c r="AI58" s="212"/>
      <c r="AJ58" s="212"/>
      <c r="AK58" s="212"/>
      <c r="AL58" s="212"/>
      <c r="AM58" s="776"/>
    </row>
    <row r="59" spans="1:41" ht="18" customHeight="1" x14ac:dyDescent="0.25">
      <c r="A59" s="600"/>
      <c r="B59" s="665">
        <v>12</v>
      </c>
      <c r="C59" s="1039" t="s">
        <v>74</v>
      </c>
      <c r="D59" s="1020">
        <f>COUNT(K62,O62,S62,W62,AA62)</f>
        <v>5</v>
      </c>
      <c r="E59" s="665">
        <f>COUNT(L62,P62,T62,X62,AB62)</f>
        <v>5</v>
      </c>
      <c r="F59" s="1039">
        <f>COUNT(M62,Q62,U62,Y62,AC62)</f>
        <v>5</v>
      </c>
      <c r="G59" s="1020">
        <f>SUM(K62,O62,S62,W62,AA62)</f>
        <v>32</v>
      </c>
      <c r="H59" s="665">
        <f>SUM(L62,P62,T62,X62,AB62)</f>
        <v>32</v>
      </c>
      <c r="I59" s="655">
        <f>SUM(M62,Q62,U62,Y62,AC62)</f>
        <v>32</v>
      </c>
      <c r="J59" s="1214">
        <v>18</v>
      </c>
      <c r="K59" s="626"/>
      <c r="L59" s="626"/>
      <c r="M59" s="627"/>
      <c r="N59" s="457">
        <v>19</v>
      </c>
      <c r="O59" s="604"/>
      <c r="P59" s="604"/>
      <c r="Q59" s="605"/>
      <c r="R59" s="481">
        <v>20</v>
      </c>
      <c r="S59" s="604"/>
      <c r="T59" s="604"/>
      <c r="U59" s="605"/>
      <c r="V59" s="457">
        <v>21</v>
      </c>
      <c r="W59" s="604"/>
      <c r="X59" s="604"/>
      <c r="Y59" s="605"/>
      <c r="Z59" s="709">
        <v>22</v>
      </c>
      <c r="AA59" s="621"/>
      <c r="AB59" s="622"/>
      <c r="AC59" s="623"/>
      <c r="AD59" s="166"/>
      <c r="AE59" s="167"/>
      <c r="AF59" s="168"/>
      <c r="AG59" s="168"/>
      <c r="AH59" s="168"/>
      <c r="AI59" s="168"/>
      <c r="AJ59" s="168"/>
      <c r="AK59" s="169"/>
      <c r="AL59" s="169"/>
      <c r="AM59" s="777" t="s">
        <v>130</v>
      </c>
      <c r="AO59" s="6" t="s">
        <v>53</v>
      </c>
    </row>
    <row r="60" spans="1:41" ht="18" customHeight="1" x14ac:dyDescent="0.25">
      <c r="A60" s="600"/>
      <c r="B60" s="663"/>
      <c r="C60" s="668"/>
      <c r="D60" s="671"/>
      <c r="E60" s="663"/>
      <c r="F60" s="910"/>
      <c r="G60" s="671"/>
      <c r="H60" s="663"/>
      <c r="I60" s="656"/>
      <c r="J60" s="1215"/>
      <c r="K60" s="628"/>
      <c r="L60" s="628"/>
      <c r="M60" s="629"/>
      <c r="N60" s="458"/>
      <c r="O60" s="602"/>
      <c r="P60" s="602"/>
      <c r="Q60" s="603"/>
      <c r="R60" s="735"/>
      <c r="S60" s="602"/>
      <c r="T60" s="602"/>
      <c r="U60" s="603"/>
      <c r="V60" s="611"/>
      <c r="W60" s="637"/>
      <c r="X60" s="637"/>
      <c r="Y60" s="1097"/>
      <c r="Z60" s="710"/>
      <c r="AA60" s="542"/>
      <c r="AB60" s="543"/>
      <c r="AC60" s="544"/>
      <c r="AD60" s="151"/>
      <c r="AE60" s="152"/>
      <c r="AF60" s="153"/>
      <c r="AG60" s="153"/>
      <c r="AH60" s="153"/>
      <c r="AI60" s="153"/>
      <c r="AJ60" s="153"/>
      <c r="AK60" s="154"/>
      <c r="AL60" s="153"/>
      <c r="AM60" s="778"/>
    </row>
    <row r="61" spans="1:41" ht="18" customHeight="1" x14ac:dyDescent="0.25">
      <c r="A61" s="600"/>
      <c r="B61" s="663"/>
      <c r="C61" s="668"/>
      <c r="D61" s="671"/>
      <c r="E61" s="663"/>
      <c r="F61" s="910"/>
      <c r="G61" s="671"/>
      <c r="H61" s="663"/>
      <c r="I61" s="656"/>
      <c r="J61" s="1215"/>
      <c r="K61" s="624"/>
      <c r="L61" s="624"/>
      <c r="M61" s="625"/>
      <c r="N61" s="458"/>
      <c r="O61" s="490"/>
      <c r="P61" s="490"/>
      <c r="Q61" s="491"/>
      <c r="R61" s="482"/>
      <c r="S61" s="490"/>
      <c r="T61" s="490"/>
      <c r="U61" s="491"/>
      <c r="V61" s="458"/>
      <c r="W61" s="637"/>
      <c r="X61" s="637"/>
      <c r="Y61" s="1097"/>
      <c r="Z61" s="711"/>
      <c r="AA61" s="560"/>
      <c r="AB61" s="561"/>
      <c r="AC61" s="562"/>
      <c r="AD61" s="151"/>
      <c r="AE61" s="152"/>
      <c r="AF61" s="153"/>
      <c r="AG61" s="153"/>
      <c r="AH61" s="153"/>
      <c r="AI61" s="153"/>
      <c r="AJ61" s="153"/>
      <c r="AK61" s="155"/>
      <c r="AL61" s="153"/>
      <c r="AM61" s="778"/>
    </row>
    <row r="62" spans="1:41" ht="18" customHeight="1" x14ac:dyDescent="0.25">
      <c r="A62" s="600"/>
      <c r="B62" s="909"/>
      <c r="C62" s="1201"/>
      <c r="D62" s="908"/>
      <c r="E62" s="909"/>
      <c r="F62" s="911"/>
      <c r="G62" s="908"/>
      <c r="H62" s="909"/>
      <c r="I62" s="1037"/>
      <c r="J62" s="1216"/>
      <c r="K62" s="171">
        <v>6</v>
      </c>
      <c r="L62" s="171">
        <v>6</v>
      </c>
      <c r="M62" s="172">
        <v>6</v>
      </c>
      <c r="N62" s="612"/>
      <c r="O62" s="171">
        <v>7</v>
      </c>
      <c r="P62" s="171">
        <v>7</v>
      </c>
      <c r="Q62" s="172">
        <v>7</v>
      </c>
      <c r="R62" s="736"/>
      <c r="S62" s="171">
        <v>6</v>
      </c>
      <c r="T62" s="171">
        <v>6</v>
      </c>
      <c r="U62" s="175">
        <v>6</v>
      </c>
      <c r="V62" s="612"/>
      <c r="W62" s="171">
        <v>7</v>
      </c>
      <c r="X62" s="171">
        <v>7</v>
      </c>
      <c r="Y62" s="172">
        <v>7</v>
      </c>
      <c r="Z62" s="712"/>
      <c r="AA62" s="171">
        <v>6</v>
      </c>
      <c r="AB62" s="171">
        <v>6</v>
      </c>
      <c r="AC62" s="175">
        <v>6</v>
      </c>
      <c r="AD62" s="170"/>
      <c r="AE62" s="162"/>
      <c r="AF62" s="163"/>
      <c r="AG62" s="163"/>
      <c r="AH62" s="163"/>
      <c r="AI62" s="163"/>
      <c r="AJ62" s="163"/>
      <c r="AK62" s="163"/>
      <c r="AL62" s="163"/>
      <c r="AM62" s="779"/>
    </row>
    <row r="63" spans="1:41" ht="18" customHeight="1" x14ac:dyDescent="0.25">
      <c r="A63" s="600"/>
      <c r="B63" s="663">
        <v>13</v>
      </c>
      <c r="C63" s="910" t="s">
        <v>75</v>
      </c>
      <c r="D63" s="671">
        <f>COUNT(K66,O66,S66,W66,AA66)</f>
        <v>4</v>
      </c>
      <c r="E63" s="663">
        <f>COUNT(L66,P66,T66,X66,AB66)</f>
        <v>4</v>
      </c>
      <c r="F63" s="910">
        <f>COUNT(M66,Q66,U66,Y66,AC66)</f>
        <v>4</v>
      </c>
      <c r="G63" s="671">
        <f>SUM(K66,O66,S66,W66,AA66)</f>
        <v>26</v>
      </c>
      <c r="H63" s="663">
        <f>SUM(L66,P66,T66,X66,AB66)</f>
        <v>26</v>
      </c>
      <c r="I63" s="656">
        <f>SUM(M66,Q66,U66,Y66,AC66)</f>
        <v>26</v>
      </c>
      <c r="J63" s="1069">
        <v>25</v>
      </c>
      <c r="K63" s="1063"/>
      <c r="L63" s="1064"/>
      <c r="M63" s="1065"/>
      <c r="N63" s="718">
        <v>26</v>
      </c>
      <c r="O63" s="586"/>
      <c r="P63" s="586"/>
      <c r="Q63" s="1207"/>
      <c r="R63" s="718">
        <v>27</v>
      </c>
      <c r="S63" s="1208"/>
      <c r="T63" s="1208"/>
      <c r="U63" s="1209"/>
      <c r="V63" s="718">
        <v>28</v>
      </c>
      <c r="W63" s="649"/>
      <c r="X63" s="649"/>
      <c r="Y63" s="1210"/>
      <c r="Z63" s="693">
        <v>29</v>
      </c>
      <c r="AA63" s="613"/>
      <c r="AB63" s="614"/>
      <c r="AC63" s="615"/>
      <c r="AD63" s="156"/>
      <c r="AE63" s="157"/>
      <c r="AF63" s="158"/>
      <c r="AG63" s="158"/>
      <c r="AH63" s="158"/>
      <c r="AI63" s="158"/>
      <c r="AJ63" s="158"/>
      <c r="AK63" s="155"/>
      <c r="AL63" s="155"/>
      <c r="AM63" s="751"/>
    </row>
    <row r="64" spans="1:41" ht="18" customHeight="1" x14ac:dyDescent="0.25">
      <c r="A64" s="600"/>
      <c r="B64" s="663"/>
      <c r="C64" s="668"/>
      <c r="D64" s="671"/>
      <c r="E64" s="663"/>
      <c r="F64" s="910"/>
      <c r="G64" s="671"/>
      <c r="H64" s="663"/>
      <c r="I64" s="656"/>
      <c r="J64" s="794"/>
      <c r="K64" s="1066" t="s">
        <v>7</v>
      </c>
      <c r="L64" s="1067"/>
      <c r="M64" s="1068"/>
      <c r="N64" s="458"/>
      <c r="O64" s="586"/>
      <c r="P64" s="586"/>
      <c r="Q64" s="1207"/>
      <c r="R64" s="458"/>
      <c r="S64" s="729"/>
      <c r="T64" s="729"/>
      <c r="U64" s="730"/>
      <c r="V64" s="458"/>
      <c r="W64" s="504"/>
      <c r="X64" s="504"/>
      <c r="Y64" s="508"/>
      <c r="Z64" s="482"/>
      <c r="AA64" s="563"/>
      <c r="AB64" s="564"/>
      <c r="AC64" s="565"/>
      <c r="AD64" s="151"/>
      <c r="AE64" s="152"/>
      <c r="AF64" s="153"/>
      <c r="AG64" s="153"/>
      <c r="AH64" s="153"/>
      <c r="AI64" s="153"/>
      <c r="AJ64" s="153"/>
      <c r="AK64" s="154"/>
      <c r="AL64" s="153"/>
      <c r="AM64" s="751"/>
    </row>
    <row r="65" spans="1:40" ht="18" customHeight="1" x14ac:dyDescent="0.25">
      <c r="A65" s="600"/>
      <c r="B65" s="663"/>
      <c r="C65" s="668"/>
      <c r="D65" s="671"/>
      <c r="E65" s="663"/>
      <c r="F65" s="910"/>
      <c r="G65" s="671"/>
      <c r="H65" s="663"/>
      <c r="I65" s="656"/>
      <c r="J65" s="794"/>
      <c r="K65" s="1051"/>
      <c r="L65" s="1061"/>
      <c r="M65" s="1062"/>
      <c r="N65" s="458"/>
      <c r="O65" s="490"/>
      <c r="P65" s="490"/>
      <c r="Q65" s="491"/>
      <c r="R65" s="458"/>
      <c r="S65" s="731"/>
      <c r="T65" s="731"/>
      <c r="U65" s="732"/>
      <c r="V65" s="458"/>
      <c r="W65" s="504"/>
      <c r="X65" s="504"/>
      <c r="Y65" s="508"/>
      <c r="Z65" s="482"/>
      <c r="AA65" s="521"/>
      <c r="AB65" s="522"/>
      <c r="AC65" s="523"/>
      <c r="AD65" s="151"/>
      <c r="AE65" s="152"/>
      <c r="AF65" s="153"/>
      <c r="AG65" s="153"/>
      <c r="AH65" s="153"/>
      <c r="AI65" s="153"/>
      <c r="AJ65" s="153"/>
      <c r="AK65" s="155"/>
      <c r="AL65" s="153"/>
      <c r="AM65" s="751"/>
    </row>
    <row r="66" spans="1:40" ht="18" customHeight="1" thickBot="1" x14ac:dyDescent="0.3">
      <c r="A66" s="601"/>
      <c r="B66" s="666"/>
      <c r="C66" s="1202"/>
      <c r="D66" s="1060"/>
      <c r="E66" s="666"/>
      <c r="F66" s="1203"/>
      <c r="G66" s="1060"/>
      <c r="H66" s="666"/>
      <c r="I66" s="1071"/>
      <c r="J66" s="1070"/>
      <c r="K66" s="253"/>
      <c r="L66" s="253"/>
      <c r="M66" s="254"/>
      <c r="N66" s="728"/>
      <c r="O66" s="255">
        <v>7</v>
      </c>
      <c r="P66" s="255">
        <v>7</v>
      </c>
      <c r="Q66" s="256">
        <v>7</v>
      </c>
      <c r="R66" s="728"/>
      <c r="S66" s="255">
        <v>6</v>
      </c>
      <c r="T66" s="255">
        <v>6</v>
      </c>
      <c r="U66" s="257">
        <v>6</v>
      </c>
      <c r="V66" s="728"/>
      <c r="W66" s="255">
        <v>7</v>
      </c>
      <c r="X66" s="255">
        <v>7</v>
      </c>
      <c r="Y66" s="256">
        <v>7</v>
      </c>
      <c r="Z66" s="694"/>
      <c r="AA66" s="255">
        <v>6</v>
      </c>
      <c r="AB66" s="255">
        <v>6</v>
      </c>
      <c r="AC66" s="257">
        <v>6</v>
      </c>
      <c r="AD66" s="224"/>
      <c r="AE66" s="225"/>
      <c r="AF66" s="226"/>
      <c r="AG66" s="226"/>
      <c r="AH66" s="226"/>
      <c r="AI66" s="226"/>
      <c r="AJ66" s="226"/>
      <c r="AK66" s="226"/>
      <c r="AL66" s="226"/>
      <c r="AM66" s="771"/>
      <c r="AN66" s="133"/>
    </row>
    <row r="67" spans="1:40" ht="18" customHeight="1" x14ac:dyDescent="0.25">
      <c r="A67" s="599">
        <v>6</v>
      </c>
      <c r="B67" s="662">
        <v>14</v>
      </c>
      <c r="C67" s="667" t="s">
        <v>76</v>
      </c>
      <c r="D67" s="670">
        <f>COUNT(K70,O70,S70,W70,AA70)</f>
        <v>4</v>
      </c>
      <c r="E67" s="662">
        <f>COUNT(L70,P70,T70,X70,AB70)</f>
        <v>4</v>
      </c>
      <c r="F67" s="667">
        <f>COUNT(M70,Q70,U70,Y70,AC70)</f>
        <v>4</v>
      </c>
      <c r="G67" s="670">
        <f>SUM(K70,O70,S70,W70,AA70)</f>
        <v>26</v>
      </c>
      <c r="H67" s="662">
        <f>SUM(L70,P70,T70,X70,AB70)</f>
        <v>26</v>
      </c>
      <c r="I67" s="1036">
        <f>SUM(M70,Q70,U70,Y70,AC70)</f>
        <v>26</v>
      </c>
      <c r="J67" s="634">
        <v>1</v>
      </c>
      <c r="K67" s="638"/>
      <c r="L67" s="638"/>
      <c r="M67" s="639"/>
      <c r="N67" s="636">
        <v>2</v>
      </c>
      <c r="O67" s="645"/>
      <c r="P67" s="733"/>
      <c r="Q67" s="734"/>
      <c r="R67" s="737">
        <v>3</v>
      </c>
      <c r="S67" s="799"/>
      <c r="T67" s="799"/>
      <c r="U67" s="800"/>
      <c r="V67" s="634">
        <v>4</v>
      </c>
      <c r="W67" s="688" t="s">
        <v>1</v>
      </c>
      <c r="X67" s="688"/>
      <c r="Y67" s="689"/>
      <c r="Z67" s="673">
        <v>5</v>
      </c>
      <c r="AA67" s="645"/>
      <c r="AB67" s="716"/>
      <c r="AC67" s="717"/>
      <c r="AD67" s="218"/>
      <c r="AE67" s="219"/>
      <c r="AF67" s="220"/>
      <c r="AG67" s="220"/>
      <c r="AH67" s="220"/>
      <c r="AI67" s="220"/>
      <c r="AJ67" s="220"/>
      <c r="AK67" s="221"/>
      <c r="AL67" s="221"/>
      <c r="AM67" s="765"/>
    </row>
    <row r="68" spans="1:40" ht="18" customHeight="1" x14ac:dyDescent="0.25">
      <c r="A68" s="600"/>
      <c r="B68" s="663"/>
      <c r="C68" s="668"/>
      <c r="D68" s="671"/>
      <c r="E68" s="663"/>
      <c r="F68" s="910"/>
      <c r="G68" s="671"/>
      <c r="H68" s="663"/>
      <c r="I68" s="656"/>
      <c r="J68" s="589"/>
      <c r="K68" s="637"/>
      <c r="L68" s="637"/>
      <c r="M68" s="484"/>
      <c r="N68" s="458"/>
      <c r="O68" s="725"/>
      <c r="P68" s="726"/>
      <c r="Q68" s="727"/>
      <c r="R68" s="467"/>
      <c r="S68" s="533" t="s">
        <v>97</v>
      </c>
      <c r="T68" s="721"/>
      <c r="U68" s="722"/>
      <c r="V68" s="589"/>
      <c r="W68" s="690" t="s">
        <v>1</v>
      </c>
      <c r="X68" s="691"/>
      <c r="Y68" s="692"/>
      <c r="Z68" s="580"/>
      <c r="AA68" s="713"/>
      <c r="AB68" s="714"/>
      <c r="AC68" s="715"/>
      <c r="AD68" s="151"/>
      <c r="AE68" s="152"/>
      <c r="AF68" s="153"/>
      <c r="AG68" s="153"/>
      <c r="AH68" s="153"/>
      <c r="AI68" s="153"/>
      <c r="AJ68" s="153"/>
      <c r="AK68" s="155"/>
      <c r="AL68" s="153"/>
      <c r="AM68" s="773"/>
    </row>
    <row r="69" spans="1:40" ht="18" customHeight="1" x14ac:dyDescent="0.25">
      <c r="A69" s="600"/>
      <c r="B69" s="663"/>
      <c r="C69" s="668"/>
      <c r="D69" s="671"/>
      <c r="E69" s="663"/>
      <c r="F69" s="910"/>
      <c r="G69" s="671"/>
      <c r="H69" s="663"/>
      <c r="I69" s="656"/>
      <c r="J69" s="589"/>
      <c r="K69" s="637"/>
      <c r="L69" s="637"/>
      <c r="M69" s="484"/>
      <c r="N69" s="458"/>
      <c r="O69" s="509"/>
      <c r="P69" s="723"/>
      <c r="Q69" s="724"/>
      <c r="R69" s="467"/>
      <c r="S69" s="796"/>
      <c r="T69" s="797"/>
      <c r="U69" s="798"/>
      <c r="V69" s="589"/>
      <c r="W69" s="686" t="s">
        <v>18</v>
      </c>
      <c r="X69" s="686"/>
      <c r="Y69" s="687"/>
      <c r="Z69" s="580"/>
      <c r="AA69" s="509"/>
      <c r="AB69" s="510"/>
      <c r="AC69" s="511"/>
      <c r="AD69" s="151"/>
      <c r="AE69" s="152"/>
      <c r="AF69" s="153"/>
      <c r="AG69" s="153"/>
      <c r="AH69" s="153"/>
      <c r="AI69" s="153"/>
      <c r="AJ69" s="153"/>
      <c r="AK69" s="155"/>
      <c r="AL69" s="153"/>
      <c r="AM69" s="773"/>
    </row>
    <row r="70" spans="1:40" ht="18" customHeight="1" x14ac:dyDescent="0.25">
      <c r="A70" s="600"/>
      <c r="B70" s="664"/>
      <c r="C70" s="669"/>
      <c r="D70" s="672"/>
      <c r="E70" s="664"/>
      <c r="F70" s="917"/>
      <c r="G70" s="672"/>
      <c r="H70" s="664"/>
      <c r="I70" s="657"/>
      <c r="J70" s="635"/>
      <c r="K70" s="171">
        <v>6</v>
      </c>
      <c r="L70" s="171">
        <v>6</v>
      </c>
      <c r="M70" s="175">
        <v>6</v>
      </c>
      <c r="N70" s="459"/>
      <c r="O70" s="171">
        <v>7</v>
      </c>
      <c r="P70" s="171">
        <v>7</v>
      </c>
      <c r="Q70" s="172">
        <v>7</v>
      </c>
      <c r="R70" s="468"/>
      <c r="S70" s="249"/>
      <c r="T70" s="249"/>
      <c r="U70" s="250"/>
      <c r="V70" s="635"/>
      <c r="W70" s="171">
        <v>7</v>
      </c>
      <c r="X70" s="171">
        <v>7</v>
      </c>
      <c r="Y70" s="172">
        <v>7</v>
      </c>
      <c r="Z70" s="674"/>
      <c r="AA70" s="171">
        <v>6</v>
      </c>
      <c r="AB70" s="171">
        <v>6</v>
      </c>
      <c r="AC70" s="175">
        <v>6</v>
      </c>
      <c r="AD70" s="173"/>
      <c r="AE70" s="211"/>
      <c r="AF70" s="212"/>
      <c r="AG70" s="212"/>
      <c r="AH70" s="212"/>
      <c r="AI70" s="212"/>
      <c r="AJ70" s="212"/>
      <c r="AK70" s="212"/>
      <c r="AL70" s="212"/>
      <c r="AM70" s="773"/>
    </row>
    <row r="71" spans="1:40" ht="18" customHeight="1" x14ac:dyDescent="0.25">
      <c r="A71" s="600"/>
      <c r="B71" s="665">
        <v>15</v>
      </c>
      <c r="C71" s="1204" t="s">
        <v>77</v>
      </c>
      <c r="D71" s="1020">
        <f>COUNT(K74,O74,S74,W74,AA74)</f>
        <v>5</v>
      </c>
      <c r="E71" s="665">
        <f>COUNT(L74,P74,T74,X74,AB74)</f>
        <v>5</v>
      </c>
      <c r="F71" s="1039">
        <f>COUNT(M74,Q74,U74,Y74,AC74)</f>
        <v>5</v>
      </c>
      <c r="G71" s="1020">
        <f>SUM(K74,O74,S74,W74,AA74)</f>
        <v>32</v>
      </c>
      <c r="H71" s="665">
        <f>SUM(L74,P74,T74,X74,AB74)</f>
        <v>32</v>
      </c>
      <c r="I71" s="655">
        <f>SUM(M74,Q74,U74,Y74,AC74)</f>
        <v>32</v>
      </c>
      <c r="J71" s="1022">
        <v>8</v>
      </c>
      <c r="K71" s="647"/>
      <c r="L71" s="647"/>
      <c r="M71" s="648"/>
      <c r="N71" s="718">
        <v>9</v>
      </c>
      <c r="O71" s="586"/>
      <c r="P71" s="586"/>
      <c r="Q71" s="1207"/>
      <c r="R71" s="481">
        <v>10</v>
      </c>
      <c r="S71" s="746"/>
      <c r="T71" s="746"/>
      <c r="U71" s="747"/>
      <c r="V71" s="457">
        <v>11</v>
      </c>
      <c r="W71" s="586"/>
      <c r="X71" s="586"/>
      <c r="Y71" s="1207"/>
      <c r="Z71" s="481">
        <v>12</v>
      </c>
      <c r="AA71" s="506"/>
      <c r="AB71" s="506"/>
      <c r="AC71" s="507"/>
      <c r="AD71" s="156"/>
      <c r="AE71" s="157"/>
      <c r="AF71" s="158"/>
      <c r="AG71" s="158"/>
      <c r="AH71" s="158"/>
      <c r="AI71" s="158"/>
      <c r="AJ71" s="158"/>
      <c r="AK71" s="155"/>
      <c r="AL71" s="155"/>
      <c r="AM71" s="772"/>
    </row>
    <row r="72" spans="1:40" ht="18" customHeight="1" x14ac:dyDescent="0.25">
      <c r="A72" s="600"/>
      <c r="B72" s="663"/>
      <c r="C72" s="1205"/>
      <c r="D72" s="671"/>
      <c r="E72" s="663"/>
      <c r="F72" s="910"/>
      <c r="G72" s="671"/>
      <c r="H72" s="663"/>
      <c r="I72" s="656"/>
      <c r="J72" s="1022"/>
      <c r="K72" s="1076"/>
      <c r="L72" s="1076"/>
      <c r="M72" s="1077"/>
      <c r="N72" s="458"/>
      <c r="O72" s="1072"/>
      <c r="P72" s="1072"/>
      <c r="Q72" s="1073"/>
      <c r="R72" s="482"/>
      <c r="S72" s="637"/>
      <c r="T72" s="637"/>
      <c r="U72" s="1097"/>
      <c r="V72" s="458"/>
      <c r="W72" s="490"/>
      <c r="X72" s="490"/>
      <c r="Y72" s="491"/>
      <c r="Z72" s="482"/>
      <c r="AA72" s="504"/>
      <c r="AB72" s="504"/>
      <c r="AC72" s="508"/>
      <c r="AD72" s="151"/>
      <c r="AE72" s="152"/>
      <c r="AF72" s="153"/>
      <c r="AG72" s="153"/>
      <c r="AH72" s="153"/>
      <c r="AI72" s="153"/>
      <c r="AJ72" s="153"/>
      <c r="AK72" s="155"/>
      <c r="AL72" s="153"/>
      <c r="AM72" s="751"/>
    </row>
    <row r="73" spans="1:40" ht="18" customHeight="1" x14ac:dyDescent="0.25">
      <c r="A73" s="600"/>
      <c r="B73" s="663"/>
      <c r="C73" s="1205"/>
      <c r="D73" s="671"/>
      <c r="E73" s="663"/>
      <c r="F73" s="910"/>
      <c r="G73" s="671"/>
      <c r="H73" s="663"/>
      <c r="I73" s="656"/>
      <c r="J73" s="1022"/>
      <c r="K73" s="808"/>
      <c r="L73" s="808"/>
      <c r="M73" s="809"/>
      <c r="N73" s="458"/>
      <c r="O73" s="490"/>
      <c r="P73" s="490"/>
      <c r="Q73" s="491"/>
      <c r="R73" s="482"/>
      <c r="S73" s="637"/>
      <c r="T73" s="637"/>
      <c r="U73" s="1097"/>
      <c r="V73" s="458"/>
      <c r="W73" s="490"/>
      <c r="X73" s="490"/>
      <c r="Y73" s="491"/>
      <c r="Z73" s="482"/>
      <c r="AA73" s="504"/>
      <c r="AB73" s="504"/>
      <c r="AC73" s="508"/>
      <c r="AD73" s="151"/>
      <c r="AE73" s="152"/>
      <c r="AF73" s="153"/>
      <c r="AG73" s="153"/>
      <c r="AH73" s="153"/>
      <c r="AI73" s="153"/>
      <c r="AJ73" s="153"/>
      <c r="AK73" s="155"/>
      <c r="AL73" s="153"/>
      <c r="AM73" s="751"/>
    </row>
    <row r="74" spans="1:40" ht="18" customHeight="1" x14ac:dyDescent="0.25">
      <c r="A74" s="600"/>
      <c r="B74" s="664"/>
      <c r="C74" s="1206"/>
      <c r="D74" s="672"/>
      <c r="E74" s="664"/>
      <c r="F74" s="917"/>
      <c r="G74" s="672"/>
      <c r="H74" s="664"/>
      <c r="I74" s="657"/>
      <c r="J74" s="1022"/>
      <c r="K74" s="171">
        <v>6</v>
      </c>
      <c r="L74" s="171">
        <v>6</v>
      </c>
      <c r="M74" s="175">
        <v>6</v>
      </c>
      <c r="N74" s="658"/>
      <c r="O74" s="171">
        <v>7</v>
      </c>
      <c r="P74" s="171">
        <v>7</v>
      </c>
      <c r="Q74" s="172">
        <v>7</v>
      </c>
      <c r="R74" s="483"/>
      <c r="S74" s="171">
        <v>6</v>
      </c>
      <c r="T74" s="171">
        <v>6</v>
      </c>
      <c r="U74" s="175">
        <v>6</v>
      </c>
      <c r="V74" s="459"/>
      <c r="W74" s="171">
        <v>7</v>
      </c>
      <c r="X74" s="171">
        <v>7</v>
      </c>
      <c r="Y74" s="172">
        <v>7</v>
      </c>
      <c r="Z74" s="483"/>
      <c r="AA74" s="171">
        <v>6</v>
      </c>
      <c r="AB74" s="171">
        <v>6</v>
      </c>
      <c r="AC74" s="175">
        <v>6</v>
      </c>
      <c r="AD74" s="173"/>
      <c r="AE74" s="211"/>
      <c r="AF74" s="212"/>
      <c r="AG74" s="212"/>
      <c r="AH74" s="212"/>
      <c r="AI74" s="212"/>
      <c r="AJ74" s="212"/>
      <c r="AK74" s="212"/>
      <c r="AL74" s="212"/>
      <c r="AM74" s="752"/>
    </row>
    <row r="75" spans="1:40" ht="18" customHeight="1" x14ac:dyDescent="0.25">
      <c r="A75" s="600"/>
      <c r="B75" s="665">
        <v>16</v>
      </c>
      <c r="C75" s="1038" t="s">
        <v>78</v>
      </c>
      <c r="D75" s="1020">
        <f>COUNT(K78,O78,S78,W78,AA78)</f>
        <v>5</v>
      </c>
      <c r="E75" s="665">
        <f>COUNT(L78,P78,T78,X78,AB78)</f>
        <v>5</v>
      </c>
      <c r="F75" s="1039">
        <f>COUNT(M78,Q78,U78,Y78,AC78)</f>
        <v>5</v>
      </c>
      <c r="G75" s="1020">
        <f>SUM(K78,O78,S78,W78,AA78)</f>
        <v>32</v>
      </c>
      <c r="H75" s="665">
        <f>SUM(L78,P78,T78,X78,AB78)</f>
        <v>32</v>
      </c>
      <c r="I75" s="655">
        <f>SUM(M78,Q78,U78,Y78,AC78)</f>
        <v>32</v>
      </c>
      <c r="J75" s="1021">
        <v>15</v>
      </c>
      <c r="K75" s="646"/>
      <c r="L75" s="646"/>
      <c r="M75" s="608"/>
      <c r="N75" s="457">
        <v>16</v>
      </c>
      <c r="O75" s="455"/>
      <c r="P75" s="455"/>
      <c r="Q75" s="456"/>
      <c r="R75" s="481">
        <v>17</v>
      </c>
      <c r="S75" s="487"/>
      <c r="T75" s="488"/>
      <c r="U75" s="489"/>
      <c r="V75" s="457">
        <v>18</v>
      </c>
      <c r="W75" s="455"/>
      <c r="X75" s="455"/>
      <c r="Y75" s="456"/>
      <c r="Z75" s="481">
        <v>19</v>
      </c>
      <c r="AA75" s="499"/>
      <c r="AB75" s="499"/>
      <c r="AC75" s="500"/>
      <c r="AD75" s="187"/>
      <c r="AE75" s="157"/>
      <c r="AF75" s="158"/>
      <c r="AG75" s="158"/>
      <c r="AH75" s="158"/>
      <c r="AI75" s="158"/>
      <c r="AJ75" s="158"/>
      <c r="AK75" s="155"/>
      <c r="AL75" s="155"/>
      <c r="AM75" s="748"/>
    </row>
    <row r="76" spans="1:40" ht="18" customHeight="1" x14ac:dyDescent="0.25">
      <c r="A76" s="600"/>
      <c r="B76" s="663"/>
      <c r="C76" s="668"/>
      <c r="D76" s="671"/>
      <c r="E76" s="663"/>
      <c r="F76" s="910"/>
      <c r="G76" s="671"/>
      <c r="H76" s="663"/>
      <c r="I76" s="656"/>
      <c r="J76" s="1022"/>
      <c r="K76" s="649"/>
      <c r="L76" s="649"/>
      <c r="M76" s="521"/>
      <c r="N76" s="458"/>
      <c r="O76" s="1072"/>
      <c r="P76" s="1072"/>
      <c r="Q76" s="1073"/>
      <c r="R76" s="482"/>
      <c r="S76" s="484"/>
      <c r="T76" s="485"/>
      <c r="U76" s="486"/>
      <c r="V76" s="458"/>
      <c r="W76" s="643"/>
      <c r="X76" s="643"/>
      <c r="Y76" s="738"/>
      <c r="Z76" s="482"/>
      <c r="AA76" s="479"/>
      <c r="AB76" s="479"/>
      <c r="AC76" s="480"/>
      <c r="AD76" s="188"/>
      <c r="AE76" s="152"/>
      <c r="AF76" s="153"/>
      <c r="AG76" s="153"/>
      <c r="AH76" s="153"/>
      <c r="AI76" s="153"/>
      <c r="AJ76" s="153"/>
      <c r="AK76" s="155"/>
      <c r="AL76" s="153"/>
      <c r="AM76" s="753"/>
    </row>
    <row r="77" spans="1:40" ht="18" customHeight="1" x14ac:dyDescent="0.25">
      <c r="A77" s="600"/>
      <c r="B77" s="663"/>
      <c r="C77" s="668"/>
      <c r="D77" s="671"/>
      <c r="E77" s="663"/>
      <c r="F77" s="910"/>
      <c r="G77" s="671"/>
      <c r="H77" s="663"/>
      <c r="I77" s="656"/>
      <c r="J77" s="1022"/>
      <c r="K77" s="1048"/>
      <c r="L77" s="1048"/>
      <c r="M77" s="1049"/>
      <c r="N77" s="458"/>
      <c r="O77" s="1074"/>
      <c r="P77" s="643"/>
      <c r="Q77" s="738"/>
      <c r="R77" s="482"/>
      <c r="S77" s="484"/>
      <c r="T77" s="485"/>
      <c r="U77" s="486"/>
      <c r="V77" s="458"/>
      <c r="W77" s="490"/>
      <c r="X77" s="490"/>
      <c r="Y77" s="491"/>
      <c r="Z77" s="482"/>
      <c r="AA77" s="492"/>
      <c r="AB77" s="492"/>
      <c r="AC77" s="493"/>
      <c r="AD77" s="188"/>
      <c r="AE77" s="152"/>
      <c r="AF77" s="153"/>
      <c r="AG77" s="153"/>
      <c r="AH77" s="153"/>
      <c r="AI77" s="153"/>
      <c r="AJ77" s="153"/>
      <c r="AK77" s="155"/>
      <c r="AL77" s="153"/>
      <c r="AM77" s="753"/>
    </row>
    <row r="78" spans="1:40" ht="18" customHeight="1" thickBot="1" x14ac:dyDescent="0.3">
      <c r="A78" s="600"/>
      <c r="B78" s="664"/>
      <c r="C78" s="1201"/>
      <c r="D78" s="672"/>
      <c r="E78" s="664"/>
      <c r="F78" s="917"/>
      <c r="G78" s="672"/>
      <c r="H78" s="664"/>
      <c r="I78" s="657"/>
      <c r="J78" s="1075"/>
      <c r="K78" s="171">
        <v>6</v>
      </c>
      <c r="L78" s="171">
        <v>6</v>
      </c>
      <c r="M78" s="175">
        <v>6</v>
      </c>
      <c r="N78" s="459"/>
      <c r="O78" s="171">
        <v>7</v>
      </c>
      <c r="P78" s="171">
        <v>7</v>
      </c>
      <c r="Q78" s="172">
        <v>7</v>
      </c>
      <c r="R78" s="483"/>
      <c r="S78" s="171">
        <v>6</v>
      </c>
      <c r="T78" s="171">
        <v>6</v>
      </c>
      <c r="U78" s="175">
        <v>6</v>
      </c>
      <c r="V78" s="459"/>
      <c r="W78" s="171">
        <v>7</v>
      </c>
      <c r="X78" s="171">
        <v>7</v>
      </c>
      <c r="Y78" s="172">
        <v>7</v>
      </c>
      <c r="Z78" s="483"/>
      <c r="AA78" s="171">
        <v>6</v>
      </c>
      <c r="AB78" s="171">
        <v>6</v>
      </c>
      <c r="AC78" s="175">
        <v>6</v>
      </c>
      <c r="AD78" s="173"/>
      <c r="AE78" s="211"/>
      <c r="AF78" s="212"/>
      <c r="AG78" s="212"/>
      <c r="AH78" s="212"/>
      <c r="AI78" s="212"/>
      <c r="AJ78" s="212"/>
      <c r="AK78" s="212"/>
      <c r="AL78" s="212"/>
      <c r="AM78" s="753"/>
    </row>
    <row r="79" spans="1:40" s="1" customFormat="1" ht="18" customHeight="1" thickTop="1" thickBot="1" x14ac:dyDescent="0.3">
      <c r="A79" s="633"/>
      <c r="B79" s="665">
        <v>17</v>
      </c>
      <c r="C79" s="1038" t="s">
        <v>79</v>
      </c>
      <c r="D79" s="1020">
        <f>COUNT(K82,O82,S82,W82,AA82)</f>
        <v>5</v>
      </c>
      <c r="E79" s="665">
        <f>COUNT(L82,P82,T82,X82,AB82)</f>
        <v>5</v>
      </c>
      <c r="F79" s="1039">
        <f>COUNT(M82,Q82,U82,Y82,AC82)</f>
        <v>5</v>
      </c>
      <c r="G79" s="1020">
        <f>SUM(K82,O82,S82,W82,AA82)</f>
        <v>32</v>
      </c>
      <c r="H79" s="665">
        <f>SUM(L82,P82,T82,X82,AB82)</f>
        <v>32</v>
      </c>
      <c r="I79" s="655">
        <f>SUM(M82,Q82,U82,Y82,AC82)</f>
        <v>32</v>
      </c>
      <c r="J79" s="1021">
        <v>22</v>
      </c>
      <c r="K79" s="646"/>
      <c r="L79" s="646"/>
      <c r="M79" s="608"/>
      <c r="N79" s="457">
        <v>23</v>
      </c>
      <c r="O79" s="455"/>
      <c r="P79" s="455"/>
      <c r="Q79" s="456"/>
      <c r="R79" s="481">
        <v>24</v>
      </c>
      <c r="S79" s="487"/>
      <c r="T79" s="488"/>
      <c r="U79" s="489"/>
      <c r="V79" s="457">
        <v>25</v>
      </c>
      <c r="W79" s="455"/>
      <c r="X79" s="455"/>
      <c r="Y79" s="456"/>
      <c r="Z79" s="481">
        <v>26</v>
      </c>
      <c r="AA79" s="499"/>
      <c r="AB79" s="499"/>
      <c r="AC79" s="500"/>
      <c r="AD79" s="187"/>
      <c r="AE79" s="157"/>
      <c r="AF79" s="158"/>
      <c r="AG79" s="158"/>
      <c r="AH79" s="158"/>
      <c r="AI79" s="158"/>
      <c r="AJ79" s="158"/>
      <c r="AK79" s="155"/>
      <c r="AL79" s="155"/>
      <c r="AM79" s="751"/>
    </row>
    <row r="80" spans="1:40" s="1" customFormat="1" ht="18" customHeight="1" thickTop="1" thickBot="1" x14ac:dyDescent="0.3">
      <c r="A80" s="633"/>
      <c r="B80" s="663"/>
      <c r="C80" s="668"/>
      <c r="D80" s="671"/>
      <c r="E80" s="663"/>
      <c r="F80" s="910"/>
      <c r="G80" s="671"/>
      <c r="H80" s="663"/>
      <c r="I80" s="656"/>
      <c r="J80" s="1022"/>
      <c r="K80" s="649"/>
      <c r="L80" s="649"/>
      <c r="M80" s="521"/>
      <c r="N80" s="458"/>
      <c r="O80" s="1072"/>
      <c r="P80" s="1072"/>
      <c r="Q80" s="1073"/>
      <c r="R80" s="482"/>
      <c r="S80" s="484"/>
      <c r="T80" s="485"/>
      <c r="U80" s="486"/>
      <c r="V80" s="458"/>
      <c r="W80" s="643"/>
      <c r="X80" s="643"/>
      <c r="Y80" s="738"/>
      <c r="Z80" s="482"/>
      <c r="AA80" s="479"/>
      <c r="AB80" s="479"/>
      <c r="AC80" s="480"/>
      <c r="AD80" s="188"/>
      <c r="AE80" s="152"/>
      <c r="AF80" s="153"/>
      <c r="AG80" s="153"/>
      <c r="AH80" s="153"/>
      <c r="AI80" s="153"/>
      <c r="AJ80" s="153"/>
      <c r="AK80" s="155"/>
      <c r="AL80" s="153"/>
      <c r="AM80" s="751"/>
    </row>
    <row r="81" spans="1:43" s="1" customFormat="1" ht="18" customHeight="1" thickTop="1" thickBot="1" x14ac:dyDescent="0.3">
      <c r="A81" s="633"/>
      <c r="B81" s="663"/>
      <c r="C81" s="668"/>
      <c r="D81" s="671"/>
      <c r="E81" s="663"/>
      <c r="F81" s="910"/>
      <c r="G81" s="671"/>
      <c r="H81" s="663"/>
      <c r="I81" s="656"/>
      <c r="J81" s="1022"/>
      <c r="K81" s="1048"/>
      <c r="L81" s="1048"/>
      <c r="M81" s="1049"/>
      <c r="N81" s="458"/>
      <c r="O81" s="1074"/>
      <c r="P81" s="643"/>
      <c r="Q81" s="738"/>
      <c r="R81" s="482"/>
      <c r="S81" s="484"/>
      <c r="T81" s="485"/>
      <c r="U81" s="486"/>
      <c r="V81" s="458"/>
      <c r="W81" s="490"/>
      <c r="X81" s="490"/>
      <c r="Y81" s="491"/>
      <c r="Z81" s="482"/>
      <c r="AA81" s="492"/>
      <c r="AB81" s="492"/>
      <c r="AC81" s="493"/>
      <c r="AD81" s="188"/>
      <c r="AE81" s="152"/>
      <c r="AF81" s="153"/>
      <c r="AG81" s="153"/>
      <c r="AH81" s="153"/>
      <c r="AI81" s="153"/>
      <c r="AJ81" s="153"/>
      <c r="AK81" s="155"/>
      <c r="AL81" s="153"/>
      <c r="AM81" s="751"/>
    </row>
    <row r="82" spans="1:43" s="1" customFormat="1" ht="18" customHeight="1" thickTop="1" x14ac:dyDescent="0.25">
      <c r="A82" s="633"/>
      <c r="B82" s="664"/>
      <c r="C82" s="1201"/>
      <c r="D82" s="672"/>
      <c r="E82" s="664"/>
      <c r="F82" s="917"/>
      <c r="G82" s="672"/>
      <c r="H82" s="664"/>
      <c r="I82" s="657"/>
      <c r="J82" s="1075"/>
      <c r="K82" s="171">
        <v>6</v>
      </c>
      <c r="L82" s="171">
        <v>6</v>
      </c>
      <c r="M82" s="175">
        <v>6</v>
      </c>
      <c r="N82" s="459"/>
      <c r="O82" s="171">
        <v>7</v>
      </c>
      <c r="P82" s="171">
        <v>7</v>
      </c>
      <c r="Q82" s="172">
        <v>7</v>
      </c>
      <c r="R82" s="483"/>
      <c r="S82" s="171">
        <v>6</v>
      </c>
      <c r="T82" s="171">
        <v>6</v>
      </c>
      <c r="U82" s="175">
        <v>6</v>
      </c>
      <c r="V82" s="459"/>
      <c r="W82" s="171">
        <v>7</v>
      </c>
      <c r="X82" s="171">
        <v>7</v>
      </c>
      <c r="Y82" s="172">
        <v>7</v>
      </c>
      <c r="Z82" s="483"/>
      <c r="AA82" s="171">
        <v>6</v>
      </c>
      <c r="AB82" s="171">
        <v>6</v>
      </c>
      <c r="AC82" s="175">
        <v>6</v>
      </c>
      <c r="AD82" s="173"/>
      <c r="AE82" s="211"/>
      <c r="AF82" s="212"/>
      <c r="AG82" s="212"/>
      <c r="AH82" s="212"/>
      <c r="AI82" s="212"/>
      <c r="AJ82" s="212"/>
      <c r="AK82" s="212"/>
      <c r="AL82" s="212"/>
      <c r="AM82" s="752"/>
    </row>
    <row r="83" spans="1:43" ht="18" customHeight="1" x14ac:dyDescent="0.25">
      <c r="A83" s="600"/>
      <c r="B83" s="665">
        <v>18</v>
      </c>
      <c r="C83" s="1038" t="s">
        <v>80</v>
      </c>
      <c r="D83" s="1020">
        <f>COUNT(K86,O86,S86,W86,AA86)</f>
        <v>2</v>
      </c>
      <c r="E83" s="665">
        <f>COUNT(L86,P86,T86,X86,AB86)</f>
        <v>2</v>
      </c>
      <c r="F83" s="1039">
        <f>COUNT(M86,Q86,U86,Y86,AC86)</f>
        <v>2</v>
      </c>
      <c r="G83" s="1020">
        <f>SUM(K86,O86,S86,W86,AA86)</f>
        <v>4</v>
      </c>
      <c r="H83" s="665">
        <f>SUM(L86,P86,T86,X86,AB86)</f>
        <v>4</v>
      </c>
      <c r="I83" s="655">
        <f>SUM(M86,Q86,U86,Y86,AC86)</f>
        <v>6</v>
      </c>
      <c r="J83" s="653">
        <v>29</v>
      </c>
      <c r="K83" s="1196"/>
      <c r="L83" s="1196"/>
      <c r="M83" s="1197"/>
      <c r="N83" s="675">
        <v>30</v>
      </c>
      <c r="O83" s="1192"/>
      <c r="P83" s="1192"/>
      <c r="Q83" s="1193"/>
      <c r="R83" s="709"/>
      <c r="S83" s="495"/>
      <c r="T83" s="495"/>
      <c r="U83" s="496"/>
      <c r="V83" s="569"/>
      <c r="W83" s="495"/>
      <c r="X83" s="495"/>
      <c r="Y83" s="496"/>
      <c r="Z83" s="569"/>
      <c r="AA83" s="495"/>
      <c r="AB83" s="495"/>
      <c r="AC83" s="496"/>
      <c r="AD83" s="156"/>
      <c r="AE83" s="157"/>
      <c r="AF83" s="158"/>
      <c r="AG83" s="158"/>
      <c r="AH83" s="158"/>
      <c r="AI83" s="158"/>
      <c r="AJ83" s="158"/>
      <c r="AK83" s="155"/>
      <c r="AL83" s="155"/>
      <c r="AM83" s="754" t="s">
        <v>120</v>
      </c>
    </row>
    <row r="84" spans="1:43" ht="18" customHeight="1" x14ac:dyDescent="0.25">
      <c r="A84" s="600"/>
      <c r="B84" s="663"/>
      <c r="C84" s="668"/>
      <c r="D84" s="671"/>
      <c r="E84" s="663"/>
      <c r="F84" s="910"/>
      <c r="G84" s="671"/>
      <c r="H84" s="663"/>
      <c r="I84" s="656"/>
      <c r="J84" s="477"/>
      <c r="K84" s="1198" t="s">
        <v>10</v>
      </c>
      <c r="L84" s="1199"/>
      <c r="M84" s="1200"/>
      <c r="N84" s="676"/>
      <c r="O84" s="474" t="s">
        <v>10</v>
      </c>
      <c r="P84" s="474"/>
      <c r="Q84" s="475"/>
      <c r="R84" s="711"/>
      <c r="S84" s="531"/>
      <c r="T84" s="531"/>
      <c r="U84" s="532"/>
      <c r="V84" s="570"/>
      <c r="W84" s="531"/>
      <c r="X84" s="531"/>
      <c r="Y84" s="532"/>
      <c r="Z84" s="570"/>
      <c r="AA84" s="504"/>
      <c r="AB84" s="504"/>
      <c r="AC84" s="505"/>
      <c r="AD84" s="151"/>
      <c r="AE84" s="152"/>
      <c r="AF84" s="153"/>
      <c r="AG84" s="153"/>
      <c r="AH84" s="153"/>
      <c r="AI84" s="153"/>
      <c r="AJ84" s="153"/>
      <c r="AK84" s="153"/>
      <c r="AL84" s="153"/>
      <c r="AM84" s="754"/>
    </row>
    <row r="85" spans="1:43" ht="18" customHeight="1" x14ac:dyDescent="0.25">
      <c r="A85" s="600"/>
      <c r="B85" s="663"/>
      <c r="C85" s="668"/>
      <c r="D85" s="671"/>
      <c r="E85" s="663"/>
      <c r="F85" s="910"/>
      <c r="G85" s="671"/>
      <c r="H85" s="663"/>
      <c r="I85" s="656"/>
      <c r="J85" s="477"/>
      <c r="K85" s="1194"/>
      <c r="L85" s="1194"/>
      <c r="M85" s="1195"/>
      <c r="N85" s="676"/>
      <c r="O85" s="1089"/>
      <c r="P85" s="1089"/>
      <c r="Q85" s="1090"/>
      <c r="R85" s="711"/>
      <c r="S85" s="1042"/>
      <c r="T85" s="1042"/>
      <c r="U85" s="1044"/>
      <c r="V85" s="570"/>
      <c r="W85" s="1042"/>
      <c r="X85" s="1042"/>
      <c r="Y85" s="1044"/>
      <c r="Z85" s="570"/>
      <c r="AA85" s="497"/>
      <c r="AB85" s="497"/>
      <c r="AC85" s="498"/>
      <c r="AD85" s="151"/>
      <c r="AE85" s="152"/>
      <c r="AF85" s="153"/>
      <c r="AG85" s="153"/>
      <c r="AH85" s="153"/>
      <c r="AI85" s="153"/>
      <c r="AJ85" s="153"/>
      <c r="AK85" s="153"/>
      <c r="AL85" s="153"/>
      <c r="AM85" s="754"/>
    </row>
    <row r="86" spans="1:43" s="20" customFormat="1" ht="21" customHeight="1" thickBot="1" x14ac:dyDescent="0.3">
      <c r="A86" s="601"/>
      <c r="B86" s="666"/>
      <c r="C86" s="1202"/>
      <c r="D86" s="1060"/>
      <c r="E86" s="666"/>
      <c r="F86" s="1203"/>
      <c r="G86" s="1060"/>
      <c r="H86" s="666"/>
      <c r="I86" s="1071"/>
      <c r="J86" s="654"/>
      <c r="K86" s="338">
        <v>2</v>
      </c>
      <c r="L86" s="338">
        <v>2</v>
      </c>
      <c r="M86" s="339">
        <v>3</v>
      </c>
      <c r="N86" s="677"/>
      <c r="O86" s="342">
        <v>2</v>
      </c>
      <c r="P86" s="342">
        <v>2</v>
      </c>
      <c r="Q86" s="343">
        <v>3</v>
      </c>
      <c r="R86" s="1098"/>
      <c r="S86" s="222"/>
      <c r="T86" s="222"/>
      <c r="U86" s="223"/>
      <c r="V86" s="1096"/>
      <c r="W86" s="222"/>
      <c r="X86" s="222"/>
      <c r="Y86" s="223"/>
      <c r="Z86" s="1096"/>
      <c r="AA86" s="222"/>
      <c r="AB86" s="222"/>
      <c r="AC86" s="223"/>
      <c r="AD86" s="224"/>
      <c r="AE86" s="225"/>
      <c r="AF86" s="226"/>
      <c r="AG86" s="226"/>
      <c r="AH86" s="226"/>
      <c r="AI86" s="226"/>
      <c r="AJ86" s="226"/>
      <c r="AK86" s="226"/>
      <c r="AL86" s="226"/>
      <c r="AM86" s="755"/>
    </row>
    <row r="87" spans="1:43" ht="17.25" customHeight="1" x14ac:dyDescent="0.25">
      <c r="A87" s="599">
        <v>7</v>
      </c>
      <c r="B87" s="919">
        <v>18</v>
      </c>
      <c r="C87" s="1189" t="s">
        <v>64</v>
      </c>
      <c r="D87" s="932">
        <f>COUNT(K90,O90,S90,W90,AA90)</f>
        <v>3</v>
      </c>
      <c r="E87" s="919">
        <f>COUNT(L90,P90,T90,X90,AB90)</f>
        <v>3</v>
      </c>
      <c r="F87" s="1189">
        <f>COUNT(M90,Q90,U90,Y90,AC90)</f>
        <v>3</v>
      </c>
      <c r="G87" s="932">
        <f>SUM(K90,O90,S90,W90,AA90)</f>
        <v>6</v>
      </c>
      <c r="H87" s="919">
        <f>SUM(L90,P90,T90,X90,AB90)</f>
        <v>6</v>
      </c>
      <c r="I87" s="920">
        <v>4</v>
      </c>
      <c r="J87" s="634"/>
      <c r="K87" s="638"/>
      <c r="L87" s="638"/>
      <c r="M87" s="639"/>
      <c r="N87" s="460"/>
      <c r="O87" s="465"/>
      <c r="P87" s="465"/>
      <c r="Q87" s="466"/>
      <c r="R87" s="476">
        <v>1</v>
      </c>
      <c r="S87" s="1091"/>
      <c r="T87" s="1091"/>
      <c r="U87" s="1092"/>
      <c r="V87" s="471">
        <v>2</v>
      </c>
      <c r="W87" s="502"/>
      <c r="X87" s="502"/>
      <c r="Y87" s="503"/>
      <c r="Z87" s="471">
        <v>3</v>
      </c>
      <c r="AA87" s="501"/>
      <c r="AB87" s="502"/>
      <c r="AC87" s="503"/>
      <c r="AD87" s="48"/>
      <c r="AE87" s="44"/>
      <c r="AF87" s="8"/>
      <c r="AG87" s="8"/>
      <c r="AH87" s="8"/>
      <c r="AI87" s="8"/>
      <c r="AJ87" s="8"/>
      <c r="AK87" s="323"/>
      <c r="AL87" s="323"/>
      <c r="AM87" s="768" t="s">
        <v>121</v>
      </c>
    </row>
    <row r="88" spans="1:43" ht="17.25" customHeight="1" x14ac:dyDescent="0.25">
      <c r="A88" s="600"/>
      <c r="B88" s="819"/>
      <c r="C88" s="903"/>
      <c r="D88" s="925"/>
      <c r="E88" s="819"/>
      <c r="F88" s="899"/>
      <c r="G88" s="925"/>
      <c r="H88" s="819"/>
      <c r="I88" s="921"/>
      <c r="J88" s="589"/>
      <c r="K88" s="637"/>
      <c r="L88" s="637"/>
      <c r="M88" s="484"/>
      <c r="N88" s="461"/>
      <c r="O88" s="1190"/>
      <c r="P88" s="1190"/>
      <c r="Q88" s="1191"/>
      <c r="R88" s="477"/>
      <c r="S88" s="474" t="s">
        <v>10</v>
      </c>
      <c r="T88" s="474"/>
      <c r="U88" s="475"/>
      <c r="V88" s="472"/>
      <c r="W88" s="474" t="s">
        <v>10</v>
      </c>
      <c r="X88" s="474"/>
      <c r="Y88" s="475"/>
      <c r="Z88" s="472"/>
      <c r="AA88" s="474" t="s">
        <v>10</v>
      </c>
      <c r="AB88" s="474"/>
      <c r="AC88" s="494"/>
      <c r="AD88" s="49"/>
      <c r="AE88" s="45"/>
      <c r="AF88" s="11"/>
      <c r="AG88" s="11"/>
      <c r="AH88" s="11"/>
      <c r="AI88" s="11"/>
      <c r="AJ88" s="11"/>
      <c r="AK88" s="11"/>
      <c r="AL88" s="11"/>
      <c r="AM88" s="769"/>
    </row>
    <row r="89" spans="1:43" ht="17.25" customHeight="1" x14ac:dyDescent="0.25">
      <c r="A89" s="600"/>
      <c r="B89" s="819"/>
      <c r="C89" s="903"/>
      <c r="D89" s="925"/>
      <c r="E89" s="819"/>
      <c r="F89" s="899"/>
      <c r="G89" s="925"/>
      <c r="H89" s="819"/>
      <c r="I89" s="921"/>
      <c r="J89" s="589"/>
      <c r="K89" s="637"/>
      <c r="L89" s="637"/>
      <c r="M89" s="484"/>
      <c r="N89" s="461"/>
      <c r="O89" s="463"/>
      <c r="P89" s="463"/>
      <c r="Q89" s="464"/>
      <c r="R89" s="477"/>
      <c r="S89" s="1087"/>
      <c r="T89" s="1087"/>
      <c r="U89" s="1088"/>
      <c r="V89" s="472"/>
      <c r="W89" s="1089"/>
      <c r="X89" s="1089"/>
      <c r="Y89" s="1090"/>
      <c r="Z89" s="472"/>
      <c r="AA89" s="469"/>
      <c r="AB89" s="469"/>
      <c r="AC89" s="470"/>
      <c r="AD89" s="49"/>
      <c r="AE89" s="45"/>
      <c r="AF89" s="11"/>
      <c r="AG89" s="11"/>
      <c r="AH89" s="11"/>
      <c r="AI89" s="11"/>
      <c r="AJ89" s="11"/>
      <c r="AK89" s="11"/>
      <c r="AL89" s="11"/>
      <c r="AM89" s="769"/>
    </row>
    <row r="90" spans="1:43" ht="17.25" customHeight="1" x14ac:dyDescent="0.25">
      <c r="A90" s="600"/>
      <c r="B90" s="820"/>
      <c r="C90" s="904"/>
      <c r="D90" s="926"/>
      <c r="E90" s="820"/>
      <c r="F90" s="900"/>
      <c r="G90" s="926"/>
      <c r="H90" s="820"/>
      <c r="I90" s="922"/>
      <c r="J90" s="635"/>
      <c r="K90" s="171"/>
      <c r="L90" s="171"/>
      <c r="M90" s="175"/>
      <c r="N90" s="462"/>
      <c r="O90" s="18"/>
      <c r="P90" s="18"/>
      <c r="Q90" s="19"/>
      <c r="R90" s="478"/>
      <c r="S90" s="344">
        <v>2</v>
      </c>
      <c r="T90" s="344">
        <v>2</v>
      </c>
      <c r="U90" s="345">
        <v>3</v>
      </c>
      <c r="V90" s="473"/>
      <c r="W90" s="344">
        <v>2</v>
      </c>
      <c r="X90" s="344">
        <v>2</v>
      </c>
      <c r="Y90" s="345">
        <v>3</v>
      </c>
      <c r="Z90" s="473"/>
      <c r="AA90" s="344">
        <v>2</v>
      </c>
      <c r="AB90" s="344">
        <v>2</v>
      </c>
      <c r="AC90" s="345">
        <v>3</v>
      </c>
      <c r="AD90" s="50"/>
      <c r="AE90" s="324"/>
      <c r="AF90" s="325"/>
      <c r="AG90" s="325"/>
      <c r="AH90" s="325"/>
      <c r="AI90" s="325"/>
      <c r="AJ90" s="325"/>
      <c r="AK90" s="325"/>
      <c r="AL90" s="325"/>
      <c r="AM90" s="770"/>
    </row>
    <row r="91" spans="1:43" ht="17.25" customHeight="1" x14ac:dyDescent="0.25">
      <c r="A91" s="600"/>
      <c r="B91" s="933">
        <v>19</v>
      </c>
      <c r="C91" s="1180" t="s">
        <v>65</v>
      </c>
      <c r="D91" s="924">
        <f>COUNT(K94,O94,S94,W94,AA94)</f>
        <v>5</v>
      </c>
      <c r="E91" s="818">
        <f>COUNT(L94,P94,T94,X94,AB94)</f>
        <v>5</v>
      </c>
      <c r="F91" s="898">
        <f>COUNT(M94,Q94,U94,Y94,AC94)</f>
        <v>5</v>
      </c>
      <c r="G91" s="924">
        <f>SUM(K94,O94,S94,W94,AA94)</f>
        <v>30</v>
      </c>
      <c r="H91" s="818">
        <f>SUM(L94,P94,T94,X94,AB94)</f>
        <v>30</v>
      </c>
      <c r="I91" s="923">
        <f>SUM(M94,Q94,U94,Y94,AC94)</f>
        <v>30</v>
      </c>
      <c r="J91" s="1120">
        <v>6</v>
      </c>
      <c r="K91" s="1126"/>
      <c r="L91" s="1126"/>
      <c r="M91" s="1127"/>
      <c r="N91" s="1123">
        <v>7</v>
      </c>
      <c r="O91" s="1128"/>
      <c r="P91" s="1128"/>
      <c r="Q91" s="1129"/>
      <c r="R91" s="1078">
        <v>8</v>
      </c>
      <c r="S91" s="1081"/>
      <c r="T91" s="1081"/>
      <c r="U91" s="1082"/>
      <c r="V91" s="1078">
        <v>9</v>
      </c>
      <c r="W91" s="1085"/>
      <c r="X91" s="1085"/>
      <c r="Y91" s="1086"/>
      <c r="Z91" s="1078">
        <v>10</v>
      </c>
      <c r="AA91" s="1099" t="s">
        <v>109</v>
      </c>
      <c r="AB91" s="1100"/>
      <c r="AC91" s="1101"/>
      <c r="AD91" s="54"/>
      <c r="AE91" s="47"/>
      <c r="AF91" s="9"/>
      <c r="AG91" s="9"/>
      <c r="AH91" s="9"/>
      <c r="AI91" s="9"/>
      <c r="AJ91" s="9"/>
      <c r="AK91" s="10"/>
      <c r="AL91" s="10"/>
      <c r="AM91" s="748" t="s">
        <v>122</v>
      </c>
    </row>
    <row r="92" spans="1:43" ht="19.2" customHeight="1" x14ac:dyDescent="0.25">
      <c r="A92" s="600"/>
      <c r="B92" s="934"/>
      <c r="C92" s="1181"/>
      <c r="D92" s="925"/>
      <c r="E92" s="819"/>
      <c r="F92" s="899"/>
      <c r="G92" s="925"/>
      <c r="H92" s="819"/>
      <c r="I92" s="921"/>
      <c r="J92" s="1121"/>
      <c r="K92" s="1149"/>
      <c r="L92" s="1149"/>
      <c r="M92" s="1150"/>
      <c r="N92" s="1124"/>
      <c r="O92" s="1147"/>
      <c r="P92" s="1147"/>
      <c r="Q92" s="1148"/>
      <c r="R92" s="1079"/>
      <c r="S92" s="1147"/>
      <c r="T92" s="1147"/>
      <c r="U92" s="1148"/>
      <c r="V92" s="1079"/>
      <c r="W92" s="1093"/>
      <c r="X92" s="1094"/>
      <c r="Y92" s="1095"/>
      <c r="Z92" s="1079"/>
      <c r="AA92" s="1102"/>
      <c r="AB92" s="1103"/>
      <c r="AC92" s="1104"/>
      <c r="AD92" s="55"/>
      <c r="AE92" s="45"/>
      <c r="AF92" s="11"/>
      <c r="AG92" s="11"/>
      <c r="AH92" s="11"/>
      <c r="AI92" s="11"/>
      <c r="AJ92" s="11"/>
      <c r="AK92" s="11"/>
      <c r="AL92" s="11"/>
      <c r="AM92" s="753"/>
    </row>
    <row r="93" spans="1:43" ht="17.25" customHeight="1" x14ac:dyDescent="0.25">
      <c r="A93" s="600"/>
      <c r="B93" s="934"/>
      <c r="C93" s="1181"/>
      <c r="D93" s="925"/>
      <c r="E93" s="819"/>
      <c r="F93" s="899"/>
      <c r="G93" s="925"/>
      <c r="H93" s="819"/>
      <c r="I93" s="921"/>
      <c r="J93" s="1121"/>
      <c r="K93" s="838"/>
      <c r="L93" s="838"/>
      <c r="M93" s="1133"/>
      <c r="N93" s="1124"/>
      <c r="O93" s="704"/>
      <c r="P93" s="704"/>
      <c r="Q93" s="705"/>
      <c r="R93" s="1079"/>
      <c r="S93" s="1161" t="s">
        <v>1</v>
      </c>
      <c r="T93" s="1162"/>
      <c r="U93" s="1163"/>
      <c r="V93" s="1079"/>
      <c r="W93" s="505"/>
      <c r="X93" s="1083"/>
      <c r="Y93" s="1084"/>
      <c r="Z93" s="1079"/>
      <c r="AA93" s="1105"/>
      <c r="AB93" s="1106"/>
      <c r="AC93" s="1107"/>
      <c r="AD93" s="55"/>
      <c r="AE93" s="45"/>
      <c r="AF93" s="11"/>
      <c r="AG93" s="11"/>
      <c r="AH93" s="11"/>
      <c r="AI93" s="11"/>
      <c r="AJ93" s="11"/>
      <c r="AK93" s="11"/>
      <c r="AL93" s="11"/>
      <c r="AM93" s="753"/>
    </row>
    <row r="94" spans="1:43" ht="17.25" customHeight="1" x14ac:dyDescent="0.25">
      <c r="A94" s="600"/>
      <c r="B94" s="935"/>
      <c r="C94" s="1181"/>
      <c r="D94" s="926"/>
      <c r="E94" s="820"/>
      <c r="F94" s="900"/>
      <c r="G94" s="926"/>
      <c r="H94" s="820"/>
      <c r="I94" s="922"/>
      <c r="J94" s="1122"/>
      <c r="K94" s="15">
        <v>6</v>
      </c>
      <c r="L94" s="15">
        <v>6</v>
      </c>
      <c r="M94" s="17">
        <v>6</v>
      </c>
      <c r="N94" s="1125"/>
      <c r="O94" s="15">
        <v>7</v>
      </c>
      <c r="P94" s="15">
        <v>7</v>
      </c>
      <c r="Q94" s="17">
        <v>7</v>
      </c>
      <c r="R94" s="1080"/>
      <c r="S94" s="15">
        <v>7</v>
      </c>
      <c r="T94" s="15">
        <v>7</v>
      </c>
      <c r="U94" s="17">
        <v>7</v>
      </c>
      <c r="V94" s="1080"/>
      <c r="W94" s="383">
        <v>4</v>
      </c>
      <c r="X94" s="383">
        <v>4</v>
      </c>
      <c r="Y94" s="384">
        <v>4</v>
      </c>
      <c r="Z94" s="1080"/>
      <c r="AA94" s="396">
        <v>6</v>
      </c>
      <c r="AB94" s="396">
        <v>6</v>
      </c>
      <c r="AC94" s="398">
        <v>6</v>
      </c>
      <c r="AD94" s="68"/>
      <c r="AE94" s="324"/>
      <c r="AF94" s="325"/>
      <c r="AG94" s="325"/>
      <c r="AH94" s="325"/>
      <c r="AI94" s="325"/>
      <c r="AJ94" s="325"/>
      <c r="AK94" s="325"/>
      <c r="AL94" s="325"/>
      <c r="AM94" s="753"/>
      <c r="AQ94" s="395" t="s">
        <v>110</v>
      </c>
    </row>
    <row r="95" spans="1:43" s="3" customFormat="1" ht="17.25" customHeight="1" x14ac:dyDescent="0.25">
      <c r="A95" s="600"/>
      <c r="B95" s="933">
        <v>20</v>
      </c>
      <c r="C95" s="1180" t="s">
        <v>66</v>
      </c>
      <c r="D95" s="924">
        <f>COUNT(K98,O98,S98,W98,AA98)</f>
        <v>4</v>
      </c>
      <c r="E95" s="818">
        <f>COUNT(L98,P98,T98,X98,AB98)</f>
        <v>4</v>
      </c>
      <c r="F95" s="898">
        <f>COUNT(M98,Q98,U98,Y98,AC98)</f>
        <v>4</v>
      </c>
      <c r="G95" s="924">
        <f>SUM(K98,O98,S98,W98,AA98)</f>
        <v>16</v>
      </c>
      <c r="H95" s="818">
        <f>SUM(L98,P98,T98,X98,AB98)</f>
        <v>16</v>
      </c>
      <c r="I95" s="923">
        <f>SUM(M98,Q98,U98,Y98,AC98)</f>
        <v>16</v>
      </c>
      <c r="J95" s="1144">
        <v>13</v>
      </c>
      <c r="K95" s="1126"/>
      <c r="L95" s="1126"/>
      <c r="M95" s="1127"/>
      <c r="N95" s="1078">
        <v>14</v>
      </c>
      <c r="O95" s="1128"/>
      <c r="P95" s="1128"/>
      <c r="Q95" s="1129"/>
      <c r="R95" s="1078">
        <v>15</v>
      </c>
      <c r="S95" s="1081"/>
      <c r="T95" s="1081"/>
      <c r="U95" s="1082"/>
      <c r="V95" s="1078">
        <v>16</v>
      </c>
      <c r="W95" s="1085"/>
      <c r="X95" s="1085"/>
      <c r="Y95" s="1086"/>
      <c r="Z95" s="467">
        <v>17</v>
      </c>
      <c r="AA95" s="1118"/>
      <c r="AB95" s="1118"/>
      <c r="AC95" s="1119"/>
      <c r="AD95" s="54"/>
      <c r="AE95" s="47"/>
      <c r="AF95" s="9"/>
      <c r="AG95" s="9"/>
      <c r="AH95" s="9"/>
      <c r="AI95" s="9"/>
      <c r="AJ95" s="9"/>
      <c r="AK95" s="10"/>
      <c r="AL95" s="10"/>
      <c r="AM95" s="748" t="s">
        <v>123</v>
      </c>
    </row>
    <row r="96" spans="1:43" s="3" customFormat="1" ht="19.2" customHeight="1" x14ac:dyDescent="0.25">
      <c r="A96" s="600"/>
      <c r="B96" s="934"/>
      <c r="C96" s="1181"/>
      <c r="D96" s="925"/>
      <c r="E96" s="819"/>
      <c r="F96" s="899"/>
      <c r="G96" s="925"/>
      <c r="H96" s="819"/>
      <c r="I96" s="921"/>
      <c r="J96" s="1145"/>
      <c r="K96" s="1149"/>
      <c r="L96" s="1149"/>
      <c r="M96" s="1150"/>
      <c r="N96" s="1079"/>
      <c r="O96" s="1147"/>
      <c r="P96" s="1147"/>
      <c r="Q96" s="1148"/>
      <c r="R96" s="1079"/>
      <c r="S96" s="1147"/>
      <c r="T96" s="1147"/>
      <c r="U96" s="1148"/>
      <c r="V96" s="1079"/>
      <c r="W96" s="1093"/>
      <c r="X96" s="1094"/>
      <c r="Y96" s="1095"/>
      <c r="Z96" s="467"/>
      <c r="AA96" s="533" t="s">
        <v>126</v>
      </c>
      <c r="AB96" s="721"/>
      <c r="AC96" s="722"/>
      <c r="AD96" s="55"/>
      <c r="AE96" s="45"/>
      <c r="AF96" s="11"/>
      <c r="AG96" s="11"/>
      <c r="AH96" s="11"/>
      <c r="AI96" s="11"/>
      <c r="AJ96" s="11"/>
      <c r="AK96" s="11"/>
      <c r="AL96" s="11"/>
      <c r="AM96" s="749"/>
    </row>
    <row r="97" spans="1:39" s="3" customFormat="1" ht="17.25" customHeight="1" x14ac:dyDescent="0.25">
      <c r="A97" s="600"/>
      <c r="B97" s="934"/>
      <c r="C97" s="1181"/>
      <c r="D97" s="925"/>
      <c r="E97" s="819"/>
      <c r="F97" s="899"/>
      <c r="G97" s="925"/>
      <c r="H97" s="819"/>
      <c r="I97" s="921"/>
      <c r="J97" s="1145"/>
      <c r="K97" s="838"/>
      <c r="L97" s="838"/>
      <c r="M97" s="1133"/>
      <c r="N97" s="1079"/>
      <c r="O97" s="704"/>
      <c r="P97" s="704"/>
      <c r="Q97" s="705"/>
      <c r="R97" s="1079"/>
      <c r="S97" s="1156"/>
      <c r="T97" s="1156"/>
      <c r="U97" s="1157"/>
      <c r="V97" s="1079"/>
      <c r="W97" s="1154"/>
      <c r="X97" s="1154"/>
      <c r="Y97" s="1155"/>
      <c r="Z97" s="467"/>
      <c r="AA97" s="796"/>
      <c r="AB97" s="797"/>
      <c r="AC97" s="798"/>
      <c r="AD97" s="55"/>
      <c r="AE97" s="45"/>
      <c r="AF97" s="11"/>
      <c r="AG97" s="11"/>
      <c r="AH97" s="11"/>
      <c r="AI97" s="11"/>
      <c r="AJ97" s="11"/>
      <c r="AK97" s="11"/>
      <c r="AL97" s="11"/>
      <c r="AM97" s="749"/>
    </row>
    <row r="98" spans="1:39" s="3" customFormat="1" ht="17.25" customHeight="1" x14ac:dyDescent="0.25">
      <c r="A98" s="600"/>
      <c r="B98" s="935"/>
      <c r="C98" s="1182"/>
      <c r="D98" s="926"/>
      <c r="E98" s="820"/>
      <c r="F98" s="900"/>
      <c r="G98" s="926"/>
      <c r="H98" s="820"/>
      <c r="I98" s="922"/>
      <c r="J98" s="1146"/>
      <c r="K98" s="383">
        <v>4</v>
      </c>
      <c r="L98" s="383">
        <v>4</v>
      </c>
      <c r="M98" s="384">
        <v>4</v>
      </c>
      <c r="N98" s="1080"/>
      <c r="O98" s="15">
        <v>4</v>
      </c>
      <c r="P98" s="15">
        <v>4</v>
      </c>
      <c r="Q98" s="17">
        <v>4</v>
      </c>
      <c r="R98" s="1080"/>
      <c r="S98" s="15">
        <v>4</v>
      </c>
      <c r="T98" s="15">
        <v>4</v>
      </c>
      <c r="U98" s="17">
        <v>4</v>
      </c>
      <c r="V98" s="1080"/>
      <c r="W98" s="15">
        <v>4</v>
      </c>
      <c r="X98" s="15">
        <v>4</v>
      </c>
      <c r="Y98" s="17">
        <v>4</v>
      </c>
      <c r="Z98" s="468"/>
      <c r="AA98" s="249"/>
      <c r="AB98" s="249"/>
      <c r="AC98" s="250"/>
      <c r="AD98" s="68"/>
      <c r="AE98" s="324"/>
      <c r="AF98" s="325"/>
      <c r="AG98" s="325"/>
      <c r="AH98" s="325"/>
      <c r="AI98" s="325"/>
      <c r="AJ98" s="325"/>
      <c r="AK98" s="325"/>
      <c r="AL98" s="325"/>
      <c r="AM98" s="750"/>
    </row>
    <row r="99" spans="1:39" s="4" customFormat="1" ht="17.25" customHeight="1" x14ac:dyDescent="0.25">
      <c r="A99" s="600"/>
      <c r="B99" s="934">
        <v>21</v>
      </c>
      <c r="C99" s="1184" t="s">
        <v>68</v>
      </c>
      <c r="D99" s="925">
        <f>COUNT(K102,O102,S102,W102,AA102)</f>
        <v>2</v>
      </c>
      <c r="E99" s="819">
        <f>COUNT(L102,P102,T102,X102,AB102)</f>
        <v>2</v>
      </c>
      <c r="F99" s="899">
        <f>COUNT(M102,Q102,U102,Y102,AC102)</f>
        <v>2</v>
      </c>
      <c r="G99" s="925">
        <f>SUM(K102,O102,S102,W102,AA102)</f>
        <v>7</v>
      </c>
      <c r="H99" s="819">
        <f>SUM(L102,P102,T102,X102,AB102)</f>
        <v>7</v>
      </c>
      <c r="I99" s="921">
        <f>SUM(M102,Q102,U102,Y102,AC102)</f>
        <v>7</v>
      </c>
      <c r="J99" s="1131">
        <v>20</v>
      </c>
      <c r="K99" s="1141"/>
      <c r="L99" s="1142"/>
      <c r="M99" s="1143"/>
      <c r="N99" s="1108">
        <v>21</v>
      </c>
      <c r="O99" s="1135" t="s">
        <v>40</v>
      </c>
      <c r="P99" s="1136"/>
      <c r="Q99" s="1137"/>
      <c r="R99" s="1108">
        <v>22</v>
      </c>
      <c r="S99" s="1111"/>
      <c r="T99" s="1111"/>
      <c r="U99" s="1112"/>
      <c r="V99" s="1108">
        <v>23</v>
      </c>
      <c r="W99" s="1113"/>
      <c r="X99" s="1113"/>
      <c r="Y99" s="1114"/>
      <c r="Z99" s="1115">
        <v>24</v>
      </c>
      <c r="AA99" s="1113"/>
      <c r="AB99" s="1113"/>
      <c r="AC99" s="1114"/>
      <c r="AD99" s="54"/>
      <c r="AE99" s="47"/>
      <c r="AF99" s="9"/>
      <c r="AG99" s="9"/>
      <c r="AH99" s="9"/>
      <c r="AI99" s="9"/>
      <c r="AJ99" s="9"/>
      <c r="AK99" s="10"/>
      <c r="AL99" s="10"/>
      <c r="AM99" s="753" t="s">
        <v>132</v>
      </c>
    </row>
    <row r="100" spans="1:39" s="4" customFormat="1" ht="19.2" customHeight="1" x14ac:dyDescent="0.25">
      <c r="A100" s="600"/>
      <c r="B100" s="934"/>
      <c r="C100" s="1181"/>
      <c r="D100" s="925"/>
      <c r="E100" s="819"/>
      <c r="F100" s="899"/>
      <c r="G100" s="925"/>
      <c r="H100" s="819"/>
      <c r="I100" s="921"/>
      <c r="J100" s="1131"/>
      <c r="K100" s="1135"/>
      <c r="L100" s="1136"/>
      <c r="M100" s="1137"/>
      <c r="N100" s="1109"/>
      <c r="O100" s="1135"/>
      <c r="P100" s="1136"/>
      <c r="Q100" s="1137"/>
      <c r="R100" s="1109"/>
      <c r="S100" s="1222"/>
      <c r="T100" s="1222"/>
      <c r="U100" s="1223"/>
      <c r="V100" s="1109"/>
      <c r="W100" s="1224"/>
      <c r="X100" s="1225"/>
      <c r="Y100" s="1226"/>
      <c r="Z100" s="1116"/>
      <c r="AA100" s="1224"/>
      <c r="AB100" s="1225"/>
      <c r="AC100" s="1226"/>
      <c r="AD100" s="55"/>
      <c r="AE100" s="45"/>
      <c r="AF100" s="11"/>
      <c r="AG100" s="11"/>
      <c r="AH100" s="11"/>
      <c r="AI100" s="11"/>
      <c r="AJ100" s="11"/>
      <c r="AK100" s="11"/>
      <c r="AL100" s="11"/>
      <c r="AM100" s="749"/>
    </row>
    <row r="101" spans="1:39" s="4" customFormat="1" ht="17.25" customHeight="1" x14ac:dyDescent="0.25">
      <c r="A101" s="600"/>
      <c r="B101" s="934"/>
      <c r="C101" s="1181"/>
      <c r="D101" s="925"/>
      <c r="E101" s="819"/>
      <c r="F101" s="899"/>
      <c r="G101" s="925"/>
      <c r="H101" s="819"/>
      <c r="I101" s="921"/>
      <c r="J101" s="1131"/>
      <c r="K101" s="1138"/>
      <c r="L101" s="1139"/>
      <c r="M101" s="1140"/>
      <c r="N101" s="1109"/>
      <c r="O101" s="1138"/>
      <c r="P101" s="1139"/>
      <c r="Q101" s="1140"/>
      <c r="R101" s="1109"/>
      <c r="S101" s="463"/>
      <c r="T101" s="463"/>
      <c r="U101" s="1227"/>
      <c r="V101" s="1109"/>
      <c r="W101" s="1228"/>
      <c r="X101" s="1228"/>
      <c r="Y101" s="1229"/>
      <c r="Z101" s="1116"/>
      <c r="AA101" s="1228"/>
      <c r="AB101" s="1228"/>
      <c r="AC101" s="1229"/>
      <c r="AD101" s="55"/>
      <c r="AE101" s="45"/>
      <c r="AF101" s="11"/>
      <c r="AG101" s="11"/>
      <c r="AH101" s="11"/>
      <c r="AI101" s="11"/>
      <c r="AJ101" s="11"/>
      <c r="AK101" s="11"/>
      <c r="AL101" s="11"/>
      <c r="AM101" s="749"/>
    </row>
    <row r="102" spans="1:39" s="4" customFormat="1" ht="17.25" customHeight="1" thickBot="1" x14ac:dyDescent="0.3">
      <c r="A102" s="601"/>
      <c r="B102" s="1183"/>
      <c r="C102" s="1185"/>
      <c r="D102" s="1186"/>
      <c r="E102" s="1187"/>
      <c r="F102" s="1188"/>
      <c r="G102" s="1186"/>
      <c r="H102" s="1187"/>
      <c r="I102" s="1134"/>
      <c r="J102" s="1132"/>
      <c r="K102" s="401">
        <v>6</v>
      </c>
      <c r="L102" s="401">
        <v>6</v>
      </c>
      <c r="M102" s="402">
        <v>6</v>
      </c>
      <c r="N102" s="1110"/>
      <c r="O102" s="326">
        <v>1</v>
      </c>
      <c r="P102" s="326">
        <v>1</v>
      </c>
      <c r="Q102" s="327">
        <v>1</v>
      </c>
      <c r="R102" s="1110"/>
      <c r="S102" s="70"/>
      <c r="T102" s="70"/>
      <c r="U102" s="397"/>
      <c r="V102" s="1110"/>
      <c r="W102" s="70"/>
      <c r="X102" s="70"/>
      <c r="Y102" s="397"/>
      <c r="Z102" s="1117"/>
      <c r="AA102" s="326"/>
      <c r="AB102" s="326"/>
      <c r="AC102" s="327"/>
      <c r="AD102" s="328"/>
      <c r="AE102" s="329"/>
      <c r="AF102" s="330"/>
      <c r="AG102" s="330"/>
      <c r="AH102" s="330"/>
      <c r="AI102" s="330"/>
      <c r="AJ102" s="330"/>
      <c r="AK102" s="330"/>
      <c r="AL102" s="330"/>
      <c r="AM102" s="1221"/>
    </row>
    <row r="103" spans="1:39" ht="24" customHeight="1" x14ac:dyDescent="0.25">
      <c r="A103" s="1164" t="s">
        <v>4</v>
      </c>
      <c r="B103" s="1165"/>
      <c r="C103" s="1166"/>
      <c r="D103" s="1173">
        <f>SUM(D7:D102)</f>
        <v>95</v>
      </c>
      <c r="E103" s="1176">
        <f>SUM(E7:E102)</f>
        <v>95</v>
      </c>
      <c r="F103" s="1178">
        <f>SUM(F7:F102)</f>
        <v>95</v>
      </c>
      <c r="G103" s="418">
        <f t="shared" ref="G103:I103" si="0">SUM(G7:G98)</f>
        <v>541</v>
      </c>
      <c r="H103" s="418">
        <f t="shared" si="0"/>
        <v>541</v>
      </c>
      <c r="I103" s="421">
        <f t="shared" si="0"/>
        <v>546</v>
      </c>
      <c r="J103" s="1130">
        <f>K14+K18+K22+K26+K34+K38+K42+K46+K58+K62+K66+K70+K74+K78+K82+K86+K94+K98+K90+K54+K50+K30+K10+K102</f>
        <v>98</v>
      </c>
      <c r="K103" s="416"/>
      <c r="L103" s="416"/>
      <c r="M103" s="416"/>
      <c r="N103" s="451">
        <f>O10+O14+O18+O22+O30+O34+O38+O42+O46+O58+O62+O66+O74+O78+O82+O90+O94+O98+O86+O70+O54+O50+O26+O102</f>
        <v>121</v>
      </c>
      <c r="O103" s="451"/>
      <c r="P103" s="451"/>
      <c r="Q103" s="451"/>
      <c r="R103" s="416">
        <f>S10+S14+S18+S22+S30+S34+S38+S42+S46+S54+S58+S62+S66+S70+S74+S78+S82+S90+S94+S98+S86+S50+S26</f>
        <v>105</v>
      </c>
      <c r="S103" s="416"/>
      <c r="T103" s="416"/>
      <c r="U103" s="416"/>
      <c r="V103" s="416">
        <f>SUM(W90,W78,W70,W66,W62,W58,W54,W50,W42,W38,W34,W22,W18,W14,W74,W10,,W82,W94,W98,W86,W46,W30,W26)</f>
        <v>124</v>
      </c>
      <c r="W103" s="416"/>
      <c r="X103" s="416"/>
      <c r="Y103" s="416"/>
      <c r="Z103" s="416">
        <f>AA10+AA14+AA18+AA22+AA30+AA34+AA38+AA42+AA50+AA54+AA58+AA62+AA66+AA74+AA78+AA82+AA90+AA94+AA98+AA86+AA70+AA46+AA26</f>
        <v>100</v>
      </c>
      <c r="AA103" s="416"/>
      <c r="AB103" s="416"/>
      <c r="AC103" s="417"/>
      <c r="AD103" s="299"/>
      <c r="AE103" s="300" t="e">
        <f>SUM(AE7,AE11,AE15,AE23,AE27,AE31,AE35,AE39,AE43,AE47,AE51,AE55,AE59,AE63,AE67,AE71,AE75,AE83,AE87,AE91,#REF!)</f>
        <v>#REF!</v>
      </c>
      <c r="AF103" s="299" t="e">
        <f>SUM(AF7,AF11,AF15,AF23,AF27,AF31,AF35,AF39,AF43,AF47,AF51,AF55,AF59,AF63,AF67,AF71,AF75,AF83,AF87,AF91,#REF!)</f>
        <v>#REF!</v>
      </c>
      <c r="AG103" s="299" t="e">
        <f>SUM(AG7,AG11,AG15,AG23,AG27,AG31,AG35,AG39,AG43,AG47,AG51,AG55,AG59,AG63,AG67,AG71,AG75,AG83,AG87,AG91,#REF!)</f>
        <v>#REF!</v>
      </c>
      <c r="AH103" s="299" t="e">
        <f>SUM(AH7,AH11,AH15,AH23,AH27,AH31,AH35,AH39,AH43,AH47,AH51,AH55,AH59,AH63,AH67,AH71,AH75,AH83,AH87,AH91,#REF!,)</f>
        <v>#REF!</v>
      </c>
      <c r="AI103" s="301">
        <f>SUM(AI5,AI9,AI13,AI17,AI25,AI29,AI33,AI37,AI41,AI45,AI49,AI53,AI57,AI61,AI65,AI69,AI73,AI77,AI85,AI89,AI93)</f>
        <v>0</v>
      </c>
      <c r="AJ103" s="299" t="e">
        <f>SUM(AJ7,AJ11,AJ15,AJ23,AJ27,AJ31,AJ35,AJ39,AJ43,AJ47,AJ51,AJ55,AJ59,AJ63,AJ67,AJ71,AJ75,AJ83,AJ87,AJ91,#REF!)</f>
        <v>#REF!</v>
      </c>
      <c r="AK103" s="299" t="e">
        <f>SUM(AK7,AK11,AK15,AK23,AK27,AK31,AK35,AK39,AK43,AK47,AK51,AK55,AK59,AK63,AK67,AK71,AK75,AK83,AK87,AK91,#REF!)</f>
        <v>#REF!</v>
      </c>
      <c r="AL103" s="299" t="e">
        <f>SUM(AL7,AL11,AL15,AL23,AL27,AL31,AL35,AL39,AL43,AL47,AL51,AL55,AL59,AL63,AL67,AL71,AL75,AL83,AL87,AL91,#REF!)</f>
        <v>#REF!</v>
      </c>
      <c r="AM103" s="322"/>
    </row>
    <row r="104" spans="1:39" ht="24" customHeight="1" x14ac:dyDescent="0.25">
      <c r="A104" s="1167"/>
      <c r="B104" s="1168"/>
      <c r="C104" s="1169"/>
      <c r="D104" s="1174"/>
      <c r="E104" s="1176"/>
      <c r="F104" s="1178"/>
      <c r="G104" s="419"/>
      <c r="H104" s="419"/>
      <c r="I104" s="422"/>
      <c r="J104" s="1159">
        <f>L14+L18+L22+L26+L34+L38+L42+L46+L58+L62+L66+L70+L74+L78+L82+L86+L94+L98+L90+L54+L50+L30+L10+L102</f>
        <v>98</v>
      </c>
      <c r="K104" s="1160"/>
      <c r="L104" s="1160"/>
      <c r="M104" s="1160"/>
      <c r="N104" s="451">
        <f>P10+P14+P18+P22+P30+P34+P38+P42+P46+P58+P62+P66+P74+P78+P82+P90+P94+P98+P86++P70+P54+P50+P26+P102</f>
        <v>121</v>
      </c>
      <c r="O104" s="451"/>
      <c r="P104" s="451"/>
      <c r="Q104" s="451"/>
      <c r="R104" s="1151">
        <f>SUM(T94,T90,T78,T74,T70,T66,T62,T58,T54,T46,T42,T38,T34,T22,T18,T14,T30,T10,T82,T98,T86,T50,T26)</f>
        <v>105</v>
      </c>
      <c r="S104" s="1152"/>
      <c r="T104" s="1152"/>
      <c r="U104" s="1153"/>
      <c r="V104" s="1151">
        <f>SUM(X90,X94,X78,X74,X70,X66,X62,X58,X54,X50,X82,X42,X38,X34,X22,X18,X14,X10,X98,X86,X46,X30,X26)</f>
        <v>124</v>
      </c>
      <c r="W104" s="1152"/>
      <c r="X104" s="1152"/>
      <c r="Y104" s="1153"/>
      <c r="Z104" s="452">
        <f>SUM(AB98,AB94,AB90,AB82,AB78,AB74,AB66,AB62,AB58,AB54,AB50,AB42,AB38,AB34,AB22,AB18,AB14,AB30,AB10,AB86,AB70,AB46,AB26)</f>
        <v>100</v>
      </c>
      <c r="AA104" s="453"/>
      <c r="AB104" s="453"/>
      <c r="AC104" s="454"/>
      <c r="AD104" s="303"/>
      <c r="AE104" s="304" t="e">
        <f>SUM(AE8,AE12,AE16,AE24,AE28,AE32,AE36,AE40,AE44,AE48,AE52,AE56,AE60,AE64,AE68,AE72,AE76,AE84,AE88,AE92,#REF!)</f>
        <v>#REF!</v>
      </c>
      <c r="AF104" s="305" t="e">
        <f>SUM(AF8,AF12,AF16,AF24,AF28,AF32,AF36,AF40,AF44,AF48,AF52,AF56,AF60,AF64,AF68,AF72,AF76,AF84,AF88,AF92,#REF!)</f>
        <v>#REF!</v>
      </c>
      <c r="AG104" s="305" t="e">
        <f>SUM(AG8,AG12,AG16,AG24,AG28,AG32,AG36,AG40,AG44,AG48,AG52,AG56,AG60,AG64,AG68,AG72,AG76,AG84,AG88,AG92,#REF!)</f>
        <v>#REF!</v>
      </c>
      <c r="AH104" s="305" t="e">
        <f>SUM(AH8,AH12,AH16,AH24,AH28,AH32,AH36,AH40,AH44,AH48,AH52,AH56,AH60,AH64,AH68,AH72,AH76,AH84,AH88,AH92,#REF!,)</f>
        <v>#REF!</v>
      </c>
      <c r="AI104" s="305">
        <f>AI17+AI29+AI37+AI49+AI61+AI93</f>
        <v>0</v>
      </c>
      <c r="AJ104" s="305" t="e">
        <f>SUM(AJ8,AJ12,AJ16,AJ24,AJ28,AJ32,AJ36,AJ40,AJ44,AJ48,AJ52,AJ56,AJ60,AJ64,AJ68,AJ72,AJ76,AJ84,AJ88,AJ92,#REF!)</f>
        <v>#REF!</v>
      </c>
      <c r="AK104" s="305" t="e">
        <f>SUM(AK8,AK12,AK16,AK24,AK28,AK32,AK36,AK40,AK44,AK48,AK52,AK56,AK60,AK64,AK68,AK72,AK76,AK84,AK88,AK92,#REF!)</f>
        <v>#REF!</v>
      </c>
      <c r="AL104" s="305" t="e">
        <f>SUM(AL8,AL12,AL16,AL24,AL28,AL32,AL36,AL40,AL44,AL48,AL52,AL56,AL60,AL64,AL68,AL72,AL76,AL84,AL88,AL92,#REF!)</f>
        <v>#REF!</v>
      </c>
      <c r="AM104" s="302"/>
    </row>
    <row r="105" spans="1:39" ht="24" customHeight="1" thickBot="1" x14ac:dyDescent="0.3">
      <c r="A105" s="1170"/>
      <c r="B105" s="1171"/>
      <c r="C105" s="1172"/>
      <c r="D105" s="1175"/>
      <c r="E105" s="1177"/>
      <c r="F105" s="1179"/>
      <c r="G105" s="420"/>
      <c r="H105" s="420"/>
      <c r="I105" s="423"/>
      <c r="J105" s="1158">
        <f>M14+M18+M22+M26+M34+M38+M42+M46+M58+M62+M66+M70+M74+M78+M86+M98+M82+M94+M90+M54+M50+M30+M10+M102</f>
        <v>100</v>
      </c>
      <c r="K105" s="415"/>
      <c r="L105" s="415"/>
      <c r="M105" s="415"/>
      <c r="N105" s="415">
        <f>Q10+Q14+Q18+Q22+Q30+Q34+Q38+Q42+Q46+Q58+Q62+Q66+Q74+Q78+Q82+Q90+Q94+Q98+Q86+Q70+Q54+Q50+Q26+Q102</f>
        <v>123</v>
      </c>
      <c r="O105" s="415"/>
      <c r="P105" s="415"/>
      <c r="Q105" s="415"/>
      <c r="R105" s="415">
        <f>SUM(U94,U90,U78,U74,U70,U66,U62,U58,U54,U46,U42,U38,U34,U22,U18,U14,U10,U30,U82,U98,U86,U50,U26)</f>
        <v>107</v>
      </c>
      <c r="S105" s="415"/>
      <c r="T105" s="415"/>
      <c r="U105" s="415"/>
      <c r="V105" s="415">
        <f>SUM(Y90,Y94,Y78,Y74,Y70,Y66,Y62,Y58,Y54,Y50,Y82,Y42,Y38,Y34,Y22,Y18,Y14,Y10,Y98,Y86,Y46,Y30,Y26)</f>
        <v>126</v>
      </c>
      <c r="W105" s="415"/>
      <c r="X105" s="415"/>
      <c r="Y105" s="415"/>
      <c r="Z105" s="412">
        <f>SUM(AC98,AC94,AC90,AC82,AC78,AC74,AC66,AC62,AC58,AC54,AC50,AC42,AC38,AC34,AC22,AC18,AC14,AC10,AC30,AC86,AC70,AC46,AC26)</f>
        <v>102</v>
      </c>
      <c r="AA105" s="413"/>
      <c r="AB105" s="413"/>
      <c r="AC105" s="414"/>
      <c r="AD105" s="306"/>
      <c r="AE105" s="307" t="e">
        <f>SUM(AE9,AE13,AE17,AE25,AE29,AE33,AE37,AE41,AE45,AE49,AE53,AE57,AE61,AE65,AE69,AE73,AE77,AE85,AE89,AE93,#REF!)</f>
        <v>#REF!</v>
      </c>
      <c r="AF105" s="307" t="e">
        <f>SUM(AF9,AF13,AF17,AF25,AF29,AF33,AF37,AF41,AF45,AF49,AF53,AF57,AF61,AF65,AF69,AF73,AF77,AF85,AF89,AF93,#REF!)</f>
        <v>#REF!</v>
      </c>
      <c r="AG105" s="307" t="e">
        <f>SUM(AG9,AG13,AG17,AG25,AG29,AG33,AG37,AG41,AG45,AG49,AG53,AG57,AG61,AG65,AG69,AG73,AG77,AG85,AG89,AG93,#REF!)</f>
        <v>#REF!</v>
      </c>
      <c r="AH105" s="307" t="e">
        <f>SUM(AH9,AH13,AH17,AH25,AH29,AH33,AH37,AH41,AH45,AH49,AH53,AH57,AH61,AH65,AH69,AH73,AH77,AH85,AH89,AH93,#REF!,)</f>
        <v>#REF!</v>
      </c>
      <c r="AI105" s="307" t="e">
        <f>SUM(AI7,AI11,AI15,AI23,AI27,AI31,AI35,AI39,AI43,AI47,AI51,AI55,AI59,AI63,AI67,AI71,AI75,AI83,AI87,AI91,#REF!)</f>
        <v>#REF!</v>
      </c>
      <c r="AJ105" s="307" t="e">
        <f>SUM(AJ9,AJ13,AJ17,AJ25,AJ29,AJ33,AJ37,AJ41,AJ45,AJ49,AJ53,AJ57,AJ61,AJ65,AJ69,AJ73,AJ77,AJ85,AJ89,AJ93,#REF!)</f>
        <v>#REF!</v>
      </c>
      <c r="AK105" s="307" t="e">
        <f>SUM(AK9,AK13,AK17,AK25,AK29,AK33,AK37,AK41,AK45,AK49,AK53,AK57,AK61,AK65,AK69,AK73,AK77,AK85,AK89,AK93,#REF!)</f>
        <v>#REF!</v>
      </c>
      <c r="AL105" s="307" t="e">
        <f>SUM(AL9,AL13,AL17,AL25,AL29,AL33,AL37,AL41,AL45,AL49,AL53,AL57,AL61,AL65,AL69,AL73,AL77,AL85,AL89,AL93,#REF!)</f>
        <v>#REF!</v>
      </c>
      <c r="AM105" s="308"/>
    </row>
    <row r="106" spans="1:39" ht="9" customHeight="1" thickBo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78"/>
      <c r="AH106" s="78"/>
      <c r="AI106" s="79"/>
      <c r="AJ106" s="78"/>
      <c r="AK106" s="20"/>
      <c r="AL106" s="20"/>
      <c r="AM106" s="43"/>
    </row>
    <row r="107" spans="1:39" s="331" customFormat="1" ht="19.2" x14ac:dyDescent="0.25">
      <c r="A107" s="424" t="s">
        <v>107</v>
      </c>
      <c r="B107" s="425"/>
      <c r="C107" s="425"/>
      <c r="D107" s="388"/>
      <c r="E107" s="388"/>
      <c r="F107" s="388"/>
      <c r="G107" s="388" t="s">
        <v>103</v>
      </c>
      <c r="H107" s="388"/>
      <c r="I107" s="389"/>
      <c r="J107" s="430">
        <f>COUNT(K10,K14,K18,K22,K26,K30,K34,K38,K42,K50,K54,K58,K62,K66,K70,K74,K78,K82,K90,K94,K98)</f>
        <v>15</v>
      </c>
      <c r="K107" s="431"/>
      <c r="L107" s="431"/>
      <c r="M107" s="432"/>
      <c r="N107" s="430">
        <f>COUNT(O10,O14,O18,O22,O26,O30,O34,O38,O42,O50,O54,O58,O62,O66,O70,O74,O78,O82,O90,O94,O98)</f>
        <v>17</v>
      </c>
      <c r="O107" s="431"/>
      <c r="P107" s="431"/>
      <c r="Q107" s="432"/>
      <c r="R107" s="433">
        <f>COUNT(S10,S14,S18,S22,S26,S34,S38,S42,S54,S58,S62,S66,S70,S74,S78,S82,S86,S94,S98)</f>
        <v>16</v>
      </c>
      <c r="S107" s="433"/>
      <c r="T107" s="433"/>
      <c r="U107" s="433"/>
      <c r="V107" s="434">
        <f>COUNT(W10,W14,W18,W22,W26,W34,W38,W46,W50,W54,W58,W62,W66,W70,W74,W78,W82,W86,W94,W98)</f>
        <v>17</v>
      </c>
      <c r="W107" s="433"/>
      <c r="X107" s="433"/>
      <c r="Y107" s="435"/>
      <c r="Z107" s="433">
        <f>COUNT(AA10,AA14,AA18,AA22,AA26,AA34,AA38,AA50,AA46,AA58,AA62,AA66,AA70,AA74,AA78,AA82,AA86,AA94)</f>
        <v>14</v>
      </c>
      <c r="AA107" s="433"/>
      <c r="AB107" s="433"/>
      <c r="AC107" s="436"/>
      <c r="AD107" s="333"/>
      <c r="AE107" s="333"/>
      <c r="AF107" s="333"/>
      <c r="AG107" s="333"/>
      <c r="AH107" s="333"/>
      <c r="AI107" s="333"/>
      <c r="AJ107" s="333"/>
      <c r="AK107" s="333"/>
      <c r="AL107" s="333"/>
      <c r="AM107" s="334"/>
    </row>
    <row r="108" spans="1:39" s="331" customFormat="1" ht="19.2" x14ac:dyDescent="0.25">
      <c r="A108" s="426"/>
      <c r="B108" s="427"/>
      <c r="C108" s="427"/>
      <c r="D108" s="390"/>
      <c r="E108" s="390"/>
      <c r="F108" s="390"/>
      <c r="G108" s="390"/>
      <c r="H108" s="390" t="s">
        <v>104</v>
      </c>
      <c r="I108" s="391"/>
      <c r="J108" s="437">
        <f>COUNT(L10,L14,L18,L22,L26,L30,L34,L38,L42,L50,L54,L58,L62,L66,L70,L74,L78,L82,L90,L94,L98)</f>
        <v>15</v>
      </c>
      <c r="K108" s="438"/>
      <c r="L108" s="438"/>
      <c r="M108" s="439"/>
      <c r="N108" s="437">
        <f>COUNT(P10,P14,P18,P22,P26,P30,P34,P38,P42,P50,P54,P58,P62,P66,P70,P74,P78,P82,P90,P94,P98)</f>
        <v>17</v>
      </c>
      <c r="O108" s="438"/>
      <c r="P108" s="438"/>
      <c r="Q108" s="439"/>
      <c r="R108" s="440">
        <f>COUNT(T10,T14,T18,T22,T26,T30,T34,T38,T42,T50,T54,T58,T62,T66,T70,T74,T78,T82,T86,T94,T98)</f>
        <v>17</v>
      </c>
      <c r="S108" s="440"/>
      <c r="T108" s="440"/>
      <c r="U108" s="440"/>
      <c r="V108" s="441">
        <f>COUNT(X10,X14,X18,X22,X26,X30,X34,X38,X46,X50,X54,X58,X62,X66,X70,X74,X78,X82,X86,X94,X98)</f>
        <v>18</v>
      </c>
      <c r="W108" s="440"/>
      <c r="X108" s="440"/>
      <c r="Y108" s="442"/>
      <c r="Z108" s="440">
        <f>COUNT(AB10,AB14,AB18,AB22,AB26,AB34,AB38,AB46,AB50,AB58,AB62,AB66,AB70,AB74,AB78,AB82,AB86,AB94)</f>
        <v>14</v>
      </c>
      <c r="AA108" s="440"/>
      <c r="AB108" s="440"/>
      <c r="AC108" s="443"/>
      <c r="AD108" s="332"/>
      <c r="AE108" s="332"/>
      <c r="AF108" s="332"/>
      <c r="AG108" s="332"/>
      <c r="AH108" s="332"/>
      <c r="AI108" s="332"/>
      <c r="AJ108" s="332"/>
      <c r="AK108" s="332"/>
      <c r="AL108" s="332"/>
      <c r="AM108" s="335"/>
    </row>
    <row r="109" spans="1:39" s="331" customFormat="1" ht="19.8" thickBot="1" x14ac:dyDescent="0.3">
      <c r="A109" s="428"/>
      <c r="B109" s="429"/>
      <c r="C109" s="429"/>
      <c r="D109" s="392"/>
      <c r="E109" s="392"/>
      <c r="F109" s="392"/>
      <c r="G109" s="392"/>
      <c r="H109" s="392"/>
      <c r="I109" s="393" t="s">
        <v>105</v>
      </c>
      <c r="J109" s="444">
        <f>COUNT(M10,M14,M18,M22,M26,M30,M34,M38,M42,M50,M54,M58,M62,M66,M70,M74,M78,M82,M86,M90,M94,M98)</f>
        <v>16</v>
      </c>
      <c r="K109" s="445"/>
      <c r="L109" s="445"/>
      <c r="M109" s="446"/>
      <c r="N109" s="444">
        <f>COUNT(Q10,Q14,Q18,Q22,Q26,Q30,Q34,Q38,Q42,Q50,Q54,Q58,Q62,Q66,Q70,Q74,Q78,Q82,Q86,Q90,Q94,Q98)</f>
        <v>18</v>
      </c>
      <c r="O109" s="445"/>
      <c r="P109" s="445"/>
      <c r="Q109" s="446"/>
      <c r="R109" s="447">
        <f>COUNT(U10,U14,U18,U22,U30,U34,U38,U42,U50,U54,U58,U62,U66,U70,U74,U78,U82,U86,U90,U94,U98)</f>
        <v>18</v>
      </c>
      <c r="S109" s="447"/>
      <c r="T109" s="447"/>
      <c r="U109" s="447"/>
      <c r="V109" s="448">
        <f>COUNT(Y10,Y14,Y18,Y22,Y26,Y30,Y34,Y38,Y46,Y50,Y54,Y58,Y62,Y66,Y70,Y74,Y78,Y82,Y86,Y90,Y94,Y98)</f>
        <v>19</v>
      </c>
      <c r="W109" s="447"/>
      <c r="X109" s="447"/>
      <c r="Y109" s="449"/>
      <c r="Z109" s="447">
        <f>COUNT(AC10,AC14,AC18,AC22,AC26,AC30,AC34,AC38,AC46,AC50,AC58,AC62,AC66,AC70,AC74,AC78,AC82,AC86,AC90,AC94)</f>
        <v>16</v>
      </c>
      <c r="AA109" s="447"/>
      <c r="AB109" s="447"/>
      <c r="AC109" s="450"/>
      <c r="AD109" s="336"/>
      <c r="AE109" s="336"/>
      <c r="AF109" s="336"/>
      <c r="AG109" s="336"/>
      <c r="AH109" s="336"/>
      <c r="AI109" s="336"/>
      <c r="AJ109" s="336"/>
      <c r="AK109" s="336"/>
      <c r="AL109" s="336"/>
      <c r="AM109" s="337"/>
    </row>
  </sheetData>
  <sheetProtection selectLockedCells="1" selectUnlockedCells="1"/>
  <mergeCells count="760">
    <mergeCell ref="AM99:AM102"/>
    <mergeCell ref="S100:U100"/>
    <mergeCell ref="W100:Y100"/>
    <mergeCell ref="S101:U101"/>
    <mergeCell ref="W101:Y101"/>
    <mergeCell ref="AA99:AC99"/>
    <mergeCell ref="AA100:AC100"/>
    <mergeCell ref="AA101:AC101"/>
    <mergeCell ref="K45:M45"/>
    <mergeCell ref="N43:N46"/>
    <mergeCell ref="K40:M40"/>
    <mergeCell ref="F39:F42"/>
    <mergeCell ref="G39:G42"/>
    <mergeCell ref="H39:H42"/>
    <mergeCell ref="I39:I42"/>
    <mergeCell ref="F43:F46"/>
    <mergeCell ref="I43:I46"/>
    <mergeCell ref="K39:M39"/>
    <mergeCell ref="J43:J46"/>
    <mergeCell ref="G43:G46"/>
    <mergeCell ref="H43:H46"/>
    <mergeCell ref="H51:H54"/>
    <mergeCell ref="F51:F54"/>
    <mergeCell ref="F47:F50"/>
    <mergeCell ref="F55:F58"/>
    <mergeCell ref="H55:H58"/>
    <mergeCell ref="G55:G58"/>
    <mergeCell ref="G59:G62"/>
    <mergeCell ref="H59:H62"/>
    <mergeCell ref="J39:J42"/>
    <mergeCell ref="I51:I54"/>
    <mergeCell ref="I47:I50"/>
    <mergeCell ref="J51:J54"/>
    <mergeCell ref="G47:G50"/>
    <mergeCell ref="H47:H50"/>
    <mergeCell ref="G51:G54"/>
    <mergeCell ref="I59:I62"/>
    <mergeCell ref="J59:J62"/>
    <mergeCell ref="W60:Y60"/>
    <mergeCell ref="W61:Y61"/>
    <mergeCell ref="W57:Y57"/>
    <mergeCell ref="V55:V58"/>
    <mergeCell ref="W55:Y55"/>
    <mergeCell ref="O71:Q71"/>
    <mergeCell ref="V63:V66"/>
    <mergeCell ref="W63:Y63"/>
    <mergeCell ref="W64:Y64"/>
    <mergeCell ref="W65:Y65"/>
    <mergeCell ref="V67:V70"/>
    <mergeCell ref="O65:Q65"/>
    <mergeCell ref="O63:Q63"/>
    <mergeCell ref="O64:Q64"/>
    <mergeCell ref="C83:C86"/>
    <mergeCell ref="D83:D86"/>
    <mergeCell ref="E83:E86"/>
    <mergeCell ref="F83:F86"/>
    <mergeCell ref="G83:G86"/>
    <mergeCell ref="D87:D90"/>
    <mergeCell ref="B91:B94"/>
    <mergeCell ref="C91:C94"/>
    <mergeCell ref="D91:D94"/>
    <mergeCell ref="G87:G90"/>
    <mergeCell ref="E87:E90"/>
    <mergeCell ref="F87:F90"/>
    <mergeCell ref="B87:B90"/>
    <mergeCell ref="B83:B86"/>
    <mergeCell ref="E47:E50"/>
    <mergeCell ref="B43:B46"/>
    <mergeCell ref="C43:C46"/>
    <mergeCell ref="E43:E46"/>
    <mergeCell ref="C75:C78"/>
    <mergeCell ref="B39:B42"/>
    <mergeCell ref="C39:C42"/>
    <mergeCell ref="D39:D42"/>
    <mergeCell ref="E39:E42"/>
    <mergeCell ref="B51:B54"/>
    <mergeCell ref="C51:C54"/>
    <mergeCell ref="D51:D54"/>
    <mergeCell ref="E51:E54"/>
    <mergeCell ref="B71:B74"/>
    <mergeCell ref="B55:B58"/>
    <mergeCell ref="C55:C58"/>
    <mergeCell ref="D55:D58"/>
    <mergeCell ref="E55:E58"/>
    <mergeCell ref="D43:D46"/>
    <mergeCell ref="D63:D66"/>
    <mergeCell ref="E63:E66"/>
    <mergeCell ref="D67:D70"/>
    <mergeCell ref="E67:E70"/>
    <mergeCell ref="C67:C70"/>
    <mergeCell ref="B79:B82"/>
    <mergeCell ref="C79:C82"/>
    <mergeCell ref="B63:B66"/>
    <mergeCell ref="C63:C66"/>
    <mergeCell ref="C59:C62"/>
    <mergeCell ref="D59:D62"/>
    <mergeCell ref="E59:E62"/>
    <mergeCell ref="F59:F62"/>
    <mergeCell ref="B67:B70"/>
    <mergeCell ref="D75:D78"/>
    <mergeCell ref="E75:E78"/>
    <mergeCell ref="F75:F78"/>
    <mergeCell ref="B75:B78"/>
    <mergeCell ref="B59:B62"/>
    <mergeCell ref="F63:F66"/>
    <mergeCell ref="F67:F70"/>
    <mergeCell ref="C71:C74"/>
    <mergeCell ref="D71:D74"/>
    <mergeCell ref="E71:E74"/>
    <mergeCell ref="F71:F74"/>
    <mergeCell ref="D79:D82"/>
    <mergeCell ref="O88:Q88"/>
    <mergeCell ref="J87:J90"/>
    <mergeCell ref="K89:M89"/>
    <mergeCell ref="K87:M87"/>
    <mergeCell ref="K88:M88"/>
    <mergeCell ref="O79:Q79"/>
    <mergeCell ref="E79:E82"/>
    <mergeCell ref="F79:F82"/>
    <mergeCell ref="G79:G82"/>
    <mergeCell ref="I83:I86"/>
    <mergeCell ref="O81:Q81"/>
    <mergeCell ref="H79:H82"/>
    <mergeCell ref="I79:I82"/>
    <mergeCell ref="O80:Q80"/>
    <mergeCell ref="O83:Q83"/>
    <mergeCell ref="I87:I90"/>
    <mergeCell ref="K85:M85"/>
    <mergeCell ref="K83:M83"/>
    <mergeCell ref="K84:M84"/>
    <mergeCell ref="F103:F105"/>
    <mergeCell ref="B95:B98"/>
    <mergeCell ref="C95:C98"/>
    <mergeCell ref="D95:D98"/>
    <mergeCell ref="A87:A102"/>
    <mergeCell ref="H87:H90"/>
    <mergeCell ref="G95:G98"/>
    <mergeCell ref="B99:B102"/>
    <mergeCell ref="C99:C102"/>
    <mergeCell ref="D99:D102"/>
    <mergeCell ref="E99:E102"/>
    <mergeCell ref="F99:F102"/>
    <mergeCell ref="G99:G102"/>
    <mergeCell ref="H99:H102"/>
    <mergeCell ref="C87:C90"/>
    <mergeCell ref="E91:E94"/>
    <mergeCell ref="F91:F94"/>
    <mergeCell ref="H91:H94"/>
    <mergeCell ref="G103:G105"/>
    <mergeCell ref="G91:G94"/>
    <mergeCell ref="H95:H98"/>
    <mergeCell ref="K93:M93"/>
    <mergeCell ref="R105:U105"/>
    <mergeCell ref="J105:M105"/>
    <mergeCell ref="J104:M104"/>
    <mergeCell ref="S92:U92"/>
    <mergeCell ref="R95:R98"/>
    <mergeCell ref="S95:U95"/>
    <mergeCell ref="O93:Q93"/>
    <mergeCell ref="K92:M92"/>
    <mergeCell ref="S93:U93"/>
    <mergeCell ref="R104:U104"/>
    <mergeCell ref="N95:N98"/>
    <mergeCell ref="V104:Y104"/>
    <mergeCell ref="R103:U103"/>
    <mergeCell ref="V95:V98"/>
    <mergeCell ref="W97:Y97"/>
    <mergeCell ref="W95:Y95"/>
    <mergeCell ref="S97:U97"/>
    <mergeCell ref="S96:U96"/>
    <mergeCell ref="O92:Q92"/>
    <mergeCell ref="I91:I94"/>
    <mergeCell ref="J91:J94"/>
    <mergeCell ref="N91:N94"/>
    <mergeCell ref="K91:M91"/>
    <mergeCell ref="O91:Q91"/>
    <mergeCell ref="E95:E98"/>
    <mergeCell ref="J103:M103"/>
    <mergeCell ref="N103:Q103"/>
    <mergeCell ref="N99:N102"/>
    <mergeCell ref="F95:F98"/>
    <mergeCell ref="J99:J102"/>
    <mergeCell ref="K95:M95"/>
    <mergeCell ref="O95:Q95"/>
    <mergeCell ref="O97:Q97"/>
    <mergeCell ref="K97:M97"/>
    <mergeCell ref="I99:I102"/>
    <mergeCell ref="O99:Q101"/>
    <mergeCell ref="K99:M99"/>
    <mergeCell ref="K100:M100"/>
    <mergeCell ref="K101:M101"/>
    <mergeCell ref="I95:I98"/>
    <mergeCell ref="J95:J98"/>
    <mergeCell ref="O96:Q96"/>
    <mergeCell ref="K96:M96"/>
    <mergeCell ref="R83:R86"/>
    <mergeCell ref="W85:Y85"/>
    <mergeCell ref="R75:R78"/>
    <mergeCell ref="S75:U75"/>
    <mergeCell ref="S77:U77"/>
    <mergeCell ref="Z71:Z74"/>
    <mergeCell ref="W80:Y80"/>
    <mergeCell ref="AA91:AC93"/>
    <mergeCell ref="R99:R102"/>
    <mergeCell ref="S99:U99"/>
    <mergeCell ref="V99:V102"/>
    <mergeCell ref="W99:Y99"/>
    <mergeCell ref="Z99:Z102"/>
    <mergeCell ref="W96:Y96"/>
    <mergeCell ref="AA95:AC95"/>
    <mergeCell ref="AA96:AC96"/>
    <mergeCell ref="AA97:AC97"/>
    <mergeCell ref="W71:Y71"/>
    <mergeCell ref="S72:U72"/>
    <mergeCell ref="W72:Y72"/>
    <mergeCell ref="R71:R74"/>
    <mergeCell ref="R91:R94"/>
    <mergeCell ref="S91:U91"/>
    <mergeCell ref="V91:V94"/>
    <mergeCell ref="W93:Y93"/>
    <mergeCell ref="W91:Y91"/>
    <mergeCell ref="S89:U89"/>
    <mergeCell ref="W89:Y89"/>
    <mergeCell ref="S87:U87"/>
    <mergeCell ref="W87:Y87"/>
    <mergeCell ref="W92:Y92"/>
    <mergeCell ref="S88:U88"/>
    <mergeCell ref="J75:J78"/>
    <mergeCell ref="K77:M77"/>
    <mergeCell ref="J79:J82"/>
    <mergeCell ref="K81:M81"/>
    <mergeCell ref="K79:M79"/>
    <mergeCell ref="K80:M80"/>
    <mergeCell ref="K72:M72"/>
    <mergeCell ref="I75:I78"/>
    <mergeCell ref="Z87:Z90"/>
    <mergeCell ref="W83:Y83"/>
    <mergeCell ref="O73:Q73"/>
    <mergeCell ref="Z83:Z86"/>
    <mergeCell ref="V83:V86"/>
    <mergeCell ref="O85:Q85"/>
    <mergeCell ref="S85:U85"/>
    <mergeCell ref="N75:N78"/>
    <mergeCell ref="O84:Q84"/>
    <mergeCell ref="O76:Q76"/>
    <mergeCell ref="S76:U76"/>
    <mergeCell ref="W73:Y73"/>
    <mergeCell ref="W75:Y75"/>
    <mergeCell ref="Z75:Z78"/>
    <mergeCell ref="V75:V78"/>
    <mergeCell ref="S73:U73"/>
    <mergeCell ref="N59:N62"/>
    <mergeCell ref="J71:J74"/>
    <mergeCell ref="O61:Q61"/>
    <mergeCell ref="N63:N66"/>
    <mergeCell ref="G63:G66"/>
    <mergeCell ref="H67:H70"/>
    <mergeCell ref="K73:M73"/>
    <mergeCell ref="H75:H78"/>
    <mergeCell ref="G67:G70"/>
    <mergeCell ref="G71:G74"/>
    <mergeCell ref="K65:M65"/>
    <mergeCell ref="K63:M63"/>
    <mergeCell ref="K64:M64"/>
    <mergeCell ref="J63:J66"/>
    <mergeCell ref="G75:G78"/>
    <mergeCell ref="I67:I70"/>
    <mergeCell ref="I63:I66"/>
    <mergeCell ref="O72:Q72"/>
    <mergeCell ref="N71:N74"/>
    <mergeCell ref="O75:Q75"/>
    <mergeCell ref="O77:Q77"/>
    <mergeCell ref="H71:H74"/>
    <mergeCell ref="I71:I74"/>
    <mergeCell ref="H63:H66"/>
    <mergeCell ref="N55:N58"/>
    <mergeCell ref="O56:Q56"/>
    <mergeCell ref="O57:Q57"/>
    <mergeCell ref="K57:M57"/>
    <mergeCell ref="K55:M55"/>
    <mergeCell ref="R51:R54"/>
    <mergeCell ref="S51:U51"/>
    <mergeCell ref="N35:N38"/>
    <mergeCell ref="K35:M35"/>
    <mergeCell ref="K36:M36"/>
    <mergeCell ref="K37:M37"/>
    <mergeCell ref="O35:Q35"/>
    <mergeCell ref="K44:M44"/>
    <mergeCell ref="O44:Q44"/>
    <mergeCell ref="O43:Q43"/>
    <mergeCell ref="O53:Q53"/>
    <mergeCell ref="K53:M53"/>
    <mergeCell ref="N51:N54"/>
    <mergeCell ref="N39:N42"/>
    <mergeCell ref="K41:M41"/>
    <mergeCell ref="O36:Q36"/>
    <mergeCell ref="O37:Q37"/>
    <mergeCell ref="O55:Q55"/>
    <mergeCell ref="K43:M43"/>
    <mergeCell ref="C31:C34"/>
    <mergeCell ref="D31:D34"/>
    <mergeCell ref="E31:E34"/>
    <mergeCell ref="I31:I34"/>
    <mergeCell ref="I27:I30"/>
    <mergeCell ref="F31:F34"/>
    <mergeCell ref="B23:B26"/>
    <mergeCell ref="C23:C26"/>
    <mergeCell ref="D23:D26"/>
    <mergeCell ref="E23:E26"/>
    <mergeCell ref="F23:F26"/>
    <mergeCell ref="I23:I26"/>
    <mergeCell ref="G31:G34"/>
    <mergeCell ref="G27:G30"/>
    <mergeCell ref="H27:H30"/>
    <mergeCell ref="H31:H34"/>
    <mergeCell ref="G35:G38"/>
    <mergeCell ref="I35:I38"/>
    <mergeCell ref="J23:J26"/>
    <mergeCell ref="N23:N26"/>
    <mergeCell ref="K23:M23"/>
    <mergeCell ref="K24:M24"/>
    <mergeCell ref="K25:M25"/>
    <mergeCell ref="J31:J34"/>
    <mergeCell ref="J27:J30"/>
    <mergeCell ref="N27:N30"/>
    <mergeCell ref="K27:M27"/>
    <mergeCell ref="J35:J38"/>
    <mergeCell ref="G23:G26"/>
    <mergeCell ref="H23:H26"/>
    <mergeCell ref="H35:H38"/>
    <mergeCell ref="AK4:AK6"/>
    <mergeCell ref="AE3:AM3"/>
    <mergeCell ref="D4:D6"/>
    <mergeCell ref="E4:E6"/>
    <mergeCell ref="F4:F6"/>
    <mergeCell ref="G4:G6"/>
    <mergeCell ref="H4:H6"/>
    <mergeCell ref="I4:I6"/>
    <mergeCell ref="J4:M5"/>
    <mergeCell ref="N4:Q5"/>
    <mergeCell ref="R4:U5"/>
    <mergeCell ref="AE4:AH5"/>
    <mergeCell ref="AI4:AI6"/>
    <mergeCell ref="AJ4:AJ6"/>
    <mergeCell ref="AL4:AL6"/>
    <mergeCell ref="AM4:AM6"/>
    <mergeCell ref="K6:M6"/>
    <mergeCell ref="O6:Q6"/>
    <mergeCell ref="S6:U6"/>
    <mergeCell ref="W6:Y6"/>
    <mergeCell ref="J3:AD3"/>
    <mergeCell ref="G3:I3"/>
    <mergeCell ref="J19:J22"/>
    <mergeCell ref="AA6:AC6"/>
    <mergeCell ref="V4:Y5"/>
    <mergeCell ref="Z4:AC5"/>
    <mergeCell ref="AD4:AD6"/>
    <mergeCell ref="AA9:AC9"/>
    <mergeCell ref="AA7:AC7"/>
    <mergeCell ref="AA8:AC8"/>
    <mergeCell ref="Z7:Z10"/>
    <mergeCell ref="J7:J10"/>
    <mergeCell ref="K8:M8"/>
    <mergeCell ref="K7:M7"/>
    <mergeCell ref="K9:M9"/>
    <mergeCell ref="J15:J18"/>
    <mergeCell ref="K15:M15"/>
    <mergeCell ref="N15:N18"/>
    <mergeCell ref="R15:R18"/>
    <mergeCell ref="W17:Y17"/>
    <mergeCell ref="J11:J14"/>
    <mergeCell ref="K11:M11"/>
    <mergeCell ref="N11:N14"/>
    <mergeCell ref="W7:Y7"/>
    <mergeCell ref="W8:Y8"/>
    <mergeCell ref="N7:N10"/>
    <mergeCell ref="O9:Q9"/>
    <mergeCell ref="O12:Q12"/>
    <mergeCell ref="R7:R10"/>
    <mergeCell ref="V7:V10"/>
    <mergeCell ref="W9:Y9"/>
    <mergeCell ref="S7:U7"/>
    <mergeCell ref="S8:U8"/>
    <mergeCell ref="S9:U9"/>
    <mergeCell ref="O7:Q7"/>
    <mergeCell ref="O11:Q11"/>
    <mergeCell ref="H7:H10"/>
    <mergeCell ref="I7:I10"/>
    <mergeCell ref="I19:I22"/>
    <mergeCell ref="G19:G22"/>
    <mergeCell ref="H19:H22"/>
    <mergeCell ref="G11:G14"/>
    <mergeCell ref="B11:B14"/>
    <mergeCell ref="D11:D14"/>
    <mergeCell ref="E11:E14"/>
    <mergeCell ref="H11:H14"/>
    <mergeCell ref="I11:I14"/>
    <mergeCell ref="B7:B10"/>
    <mergeCell ref="C7:C10"/>
    <mergeCell ref="C11:C14"/>
    <mergeCell ref="D7:D10"/>
    <mergeCell ref="I15:I18"/>
    <mergeCell ref="D15:D18"/>
    <mergeCell ref="F15:F18"/>
    <mergeCell ref="G7:G10"/>
    <mergeCell ref="B15:B18"/>
    <mergeCell ref="C15:C18"/>
    <mergeCell ref="G15:G18"/>
    <mergeCell ref="H15:H18"/>
    <mergeCell ref="E7:E10"/>
    <mergeCell ref="A3:A6"/>
    <mergeCell ref="B3:B6"/>
    <mergeCell ref="C3:C6"/>
    <mergeCell ref="D3:F3"/>
    <mergeCell ref="C27:C30"/>
    <mergeCell ref="D19:D22"/>
    <mergeCell ref="F19:F22"/>
    <mergeCell ref="B19:B22"/>
    <mergeCell ref="C19:C22"/>
    <mergeCell ref="B27:B30"/>
    <mergeCell ref="D27:D30"/>
    <mergeCell ref="E27:E30"/>
    <mergeCell ref="F27:F30"/>
    <mergeCell ref="E19:E22"/>
    <mergeCell ref="F11:F14"/>
    <mergeCell ref="A7:A26"/>
    <mergeCell ref="A27:A46"/>
    <mergeCell ref="F7:F10"/>
    <mergeCell ref="B35:B38"/>
    <mergeCell ref="C35:C38"/>
    <mergeCell ref="D35:D38"/>
    <mergeCell ref="E35:E38"/>
    <mergeCell ref="F35:F38"/>
    <mergeCell ref="B31:B34"/>
    <mergeCell ref="K20:M20"/>
    <mergeCell ref="K21:M21"/>
    <mergeCell ref="K12:M12"/>
    <mergeCell ref="K13:M13"/>
    <mergeCell ref="N31:N34"/>
    <mergeCell ref="O31:Q31"/>
    <mergeCell ref="K33:M33"/>
    <mergeCell ref="K31:M31"/>
    <mergeCell ref="K32:M32"/>
    <mergeCell ref="O28:Q28"/>
    <mergeCell ref="K28:M28"/>
    <mergeCell ref="K19:M19"/>
    <mergeCell ref="N19:N22"/>
    <mergeCell ref="O23:Q23"/>
    <mergeCell ref="O15:Q15"/>
    <mergeCell ref="O17:Q17"/>
    <mergeCell ref="O16:Q16"/>
    <mergeCell ref="K16:M16"/>
    <mergeCell ref="K17:M17"/>
    <mergeCell ref="O13:Q13"/>
    <mergeCell ref="O32:Q32"/>
    <mergeCell ref="O24:Q24"/>
    <mergeCell ref="O25:Q25"/>
    <mergeCell ref="O29:Q29"/>
    <mergeCell ref="W11:Y11"/>
    <mergeCell ref="Z15:Z18"/>
    <mergeCell ref="V15:V18"/>
    <mergeCell ref="W16:Y16"/>
    <mergeCell ref="W19:Y19"/>
    <mergeCell ref="S20:U20"/>
    <mergeCell ref="S21:U21"/>
    <mergeCell ref="R27:R30"/>
    <mergeCell ref="S29:U29"/>
    <mergeCell ref="R23:R26"/>
    <mergeCell ref="S23:U23"/>
    <mergeCell ref="S25:U25"/>
    <mergeCell ref="S24:U24"/>
    <mergeCell ref="S27:U27"/>
    <mergeCell ref="S28:U28"/>
    <mergeCell ref="Z19:Z22"/>
    <mergeCell ref="V19:V22"/>
    <mergeCell ref="W20:Y20"/>
    <mergeCell ref="W21:Y21"/>
    <mergeCell ref="S19:U19"/>
    <mergeCell ref="S15:U17"/>
    <mergeCell ref="S12:U12"/>
    <mergeCell ref="R19:R22"/>
    <mergeCell ref="R31:R34"/>
    <mergeCell ref="S32:U32"/>
    <mergeCell ref="S33:U33"/>
    <mergeCell ref="S31:U31"/>
    <mergeCell ref="S40:U40"/>
    <mergeCell ref="S52:U52"/>
    <mergeCell ref="O40:Q40"/>
    <mergeCell ref="O39:Q39"/>
    <mergeCell ref="O41:Q41"/>
    <mergeCell ref="S41:U41"/>
    <mergeCell ref="O33:Q33"/>
    <mergeCell ref="R35:R38"/>
    <mergeCell ref="W13:Y13"/>
    <mergeCell ref="O52:Q52"/>
    <mergeCell ref="O51:Q51"/>
    <mergeCell ref="S35:U35"/>
    <mergeCell ref="A1:AM1"/>
    <mergeCell ref="AA17:AC17"/>
    <mergeCell ref="AA15:AC15"/>
    <mergeCell ref="AA25:AC25"/>
    <mergeCell ref="AA23:AC23"/>
    <mergeCell ref="AA29:AC29"/>
    <mergeCell ref="AA27:AC27"/>
    <mergeCell ref="AA24:AC24"/>
    <mergeCell ref="AA11:AC11"/>
    <mergeCell ref="AA12:AC12"/>
    <mergeCell ref="AA13:AC13"/>
    <mergeCell ref="O8:Q8"/>
    <mergeCell ref="E15:E18"/>
    <mergeCell ref="W24:Y24"/>
    <mergeCell ref="W25:Y25"/>
    <mergeCell ref="O27:Q27"/>
    <mergeCell ref="S13:U13"/>
    <mergeCell ref="R11:R14"/>
    <mergeCell ref="S11:U11"/>
    <mergeCell ref="K29:M29"/>
    <mergeCell ref="O19:Q19"/>
    <mergeCell ref="O21:Q21"/>
    <mergeCell ref="O20:Q20"/>
    <mergeCell ref="AA75:AC75"/>
    <mergeCell ref="AA77:AC77"/>
    <mergeCell ref="AA76:AC76"/>
    <mergeCell ref="AA16:AC16"/>
    <mergeCell ref="AA28:AC28"/>
    <mergeCell ref="V31:V34"/>
    <mergeCell ref="Z31:Z34"/>
    <mergeCell ref="Z27:Z30"/>
    <mergeCell ref="W32:Y32"/>
    <mergeCell ref="W33:Y33"/>
    <mergeCell ref="W31:Y31"/>
    <mergeCell ref="Z23:Z26"/>
    <mergeCell ref="V23:V26"/>
    <mergeCell ref="V27:V30"/>
    <mergeCell ref="W28:Y28"/>
    <mergeCell ref="W23:Y23"/>
    <mergeCell ref="Z39:Z42"/>
    <mergeCell ref="Z51:Z54"/>
    <mergeCell ref="Z47:Z50"/>
    <mergeCell ref="S69:U69"/>
    <mergeCell ref="S67:U67"/>
    <mergeCell ref="S71:U71"/>
    <mergeCell ref="AM95:AM98"/>
    <mergeCell ref="AM79:AM82"/>
    <mergeCell ref="AM75:AM78"/>
    <mergeCell ref="AM83:AM86"/>
    <mergeCell ref="AM91:AM94"/>
    <mergeCell ref="AM35:AM38"/>
    <mergeCell ref="AM39:AM42"/>
    <mergeCell ref="AM15:AM18"/>
    <mergeCell ref="AM27:AM30"/>
    <mergeCell ref="AM31:AM34"/>
    <mergeCell ref="AM23:AM26"/>
    <mergeCell ref="AM87:AM90"/>
    <mergeCell ref="AM63:AM66"/>
    <mergeCell ref="AM71:AM74"/>
    <mergeCell ref="AM67:AM70"/>
    <mergeCell ref="AM55:AM58"/>
    <mergeCell ref="AM51:AM54"/>
    <mergeCell ref="AM59:AM62"/>
    <mergeCell ref="AM47:AM50"/>
    <mergeCell ref="W15:Y15"/>
    <mergeCell ref="Z91:Z94"/>
    <mergeCell ref="S84:U84"/>
    <mergeCell ref="W84:Y84"/>
    <mergeCell ref="O45:Q45"/>
    <mergeCell ref="S68:U68"/>
    <mergeCell ref="O69:Q69"/>
    <mergeCell ref="O68:Q68"/>
    <mergeCell ref="R63:R66"/>
    <mergeCell ref="S64:U64"/>
    <mergeCell ref="S65:U65"/>
    <mergeCell ref="O67:Q67"/>
    <mergeCell ref="R59:R62"/>
    <mergeCell ref="R67:R70"/>
    <mergeCell ref="O49:Q49"/>
    <mergeCell ref="R47:R50"/>
    <mergeCell ref="S63:U63"/>
    <mergeCell ref="O60:Q60"/>
    <mergeCell ref="O59:Q59"/>
    <mergeCell ref="AM7:AM10"/>
    <mergeCell ref="AM11:AM14"/>
    <mergeCell ref="AM19:AM22"/>
    <mergeCell ref="N79:N82"/>
    <mergeCell ref="AM43:AM46"/>
    <mergeCell ref="W69:Y69"/>
    <mergeCell ref="W67:Y67"/>
    <mergeCell ref="W68:Y68"/>
    <mergeCell ref="Z63:Z66"/>
    <mergeCell ref="W43:Y43"/>
    <mergeCell ref="W44:Y44"/>
    <mergeCell ref="Z11:Z14"/>
    <mergeCell ref="V11:V14"/>
    <mergeCell ref="W12:Y12"/>
    <mergeCell ref="W27:Y27"/>
    <mergeCell ref="W29:Y29"/>
    <mergeCell ref="Z59:Z62"/>
    <mergeCell ref="AA68:AC68"/>
    <mergeCell ref="AA67:AC67"/>
    <mergeCell ref="O47:Q47"/>
    <mergeCell ref="O48:Q48"/>
    <mergeCell ref="W77:Y77"/>
    <mergeCell ref="V47:V50"/>
    <mergeCell ref="R55:R58"/>
    <mergeCell ref="A67:A86"/>
    <mergeCell ref="J67:J70"/>
    <mergeCell ref="N67:N70"/>
    <mergeCell ref="K69:M69"/>
    <mergeCell ref="K67:M67"/>
    <mergeCell ref="K68:M68"/>
    <mergeCell ref="J47:J50"/>
    <mergeCell ref="N47:N50"/>
    <mergeCell ref="K49:M49"/>
    <mergeCell ref="K48:M48"/>
    <mergeCell ref="K47:M47"/>
    <mergeCell ref="K75:M75"/>
    <mergeCell ref="K71:M71"/>
    <mergeCell ref="K76:M76"/>
    <mergeCell ref="K52:M52"/>
    <mergeCell ref="K51:M51"/>
    <mergeCell ref="J83:J86"/>
    <mergeCell ref="I55:I58"/>
    <mergeCell ref="J55:J58"/>
    <mergeCell ref="K56:M56"/>
    <mergeCell ref="B47:B50"/>
    <mergeCell ref="H83:H86"/>
    <mergeCell ref="C47:C50"/>
    <mergeCell ref="D47:D50"/>
    <mergeCell ref="A47:A66"/>
    <mergeCell ref="W36:Y36"/>
    <mergeCell ref="S60:U60"/>
    <mergeCell ref="S59:U59"/>
    <mergeCell ref="S61:U61"/>
    <mergeCell ref="AA37:AC37"/>
    <mergeCell ref="AA36:AC36"/>
    <mergeCell ref="V35:V38"/>
    <mergeCell ref="W35:Y35"/>
    <mergeCell ref="W45:Y45"/>
    <mergeCell ref="V59:V62"/>
    <mergeCell ref="R39:R42"/>
    <mergeCell ref="AA63:AC63"/>
    <mergeCell ref="AA64:AC64"/>
    <mergeCell ref="AA65:AC65"/>
    <mergeCell ref="R43:R46"/>
    <mergeCell ref="S43:U43"/>
    <mergeCell ref="AA59:AC59"/>
    <mergeCell ref="K61:M61"/>
    <mergeCell ref="K59:M59"/>
    <mergeCell ref="K60:M60"/>
    <mergeCell ref="S53:U53"/>
    <mergeCell ref="W52:Y52"/>
    <mergeCell ref="W51:Y51"/>
    <mergeCell ref="AA19:AC19"/>
    <mergeCell ref="AA20:AC20"/>
    <mergeCell ref="AA31:AC31"/>
    <mergeCell ref="AA61:AC61"/>
    <mergeCell ref="AA60:AC60"/>
    <mergeCell ref="AA56:AC56"/>
    <mergeCell ref="S56:U56"/>
    <mergeCell ref="S57:U57"/>
    <mergeCell ref="Z55:Z58"/>
    <mergeCell ref="S45:U45"/>
    <mergeCell ref="S47:U47"/>
    <mergeCell ref="S48:U48"/>
    <mergeCell ref="S49:U49"/>
    <mergeCell ref="V43:V46"/>
    <mergeCell ref="Z43:Z46"/>
    <mergeCell ref="S44:U44"/>
    <mergeCell ref="S39:U39"/>
    <mergeCell ref="Z35:Z38"/>
    <mergeCell ref="S36:U36"/>
    <mergeCell ref="W37:Y37"/>
    <mergeCell ref="V39:V42"/>
    <mergeCell ref="S55:U55"/>
    <mergeCell ref="W53:Y53"/>
    <mergeCell ref="V51:V54"/>
    <mergeCell ref="AA21:AC21"/>
    <mergeCell ref="AA55:AC55"/>
    <mergeCell ref="AA43:AC43"/>
    <mergeCell ref="AA45:AC45"/>
    <mergeCell ref="AA44:AC44"/>
    <mergeCell ref="AA48:AC48"/>
    <mergeCell ref="AA35:AC35"/>
    <mergeCell ref="AA33:AC33"/>
    <mergeCell ref="AA32:AC32"/>
    <mergeCell ref="AA49:AC49"/>
    <mergeCell ref="AA47:AC47"/>
    <mergeCell ref="AB39:AB41"/>
    <mergeCell ref="N87:N90"/>
    <mergeCell ref="O89:Q89"/>
    <mergeCell ref="O87:Q87"/>
    <mergeCell ref="Z95:Z98"/>
    <mergeCell ref="AA89:AC89"/>
    <mergeCell ref="V87:V90"/>
    <mergeCell ref="W88:Y88"/>
    <mergeCell ref="R87:R90"/>
    <mergeCell ref="AA80:AC80"/>
    <mergeCell ref="Z79:Z82"/>
    <mergeCell ref="S80:U80"/>
    <mergeCell ref="R79:R82"/>
    <mergeCell ref="S79:U79"/>
    <mergeCell ref="S81:U81"/>
    <mergeCell ref="W81:Y81"/>
    <mergeCell ref="AA81:AC81"/>
    <mergeCell ref="AA88:AC88"/>
    <mergeCell ref="AA83:AC83"/>
    <mergeCell ref="AA85:AC85"/>
    <mergeCell ref="AA79:AC79"/>
    <mergeCell ref="AA87:AC87"/>
    <mergeCell ref="AA84:AC84"/>
    <mergeCell ref="N83:N86"/>
    <mergeCell ref="S83:U83"/>
    <mergeCell ref="H103:H105"/>
    <mergeCell ref="I103:I105"/>
    <mergeCell ref="A107:C109"/>
    <mergeCell ref="J107:M107"/>
    <mergeCell ref="N107:Q107"/>
    <mergeCell ref="R107:U107"/>
    <mergeCell ref="V107:Y107"/>
    <mergeCell ref="Z107:AC107"/>
    <mergeCell ref="J108:M108"/>
    <mergeCell ref="N108:Q108"/>
    <mergeCell ref="R108:U108"/>
    <mergeCell ref="V108:Y108"/>
    <mergeCell ref="Z108:AC108"/>
    <mergeCell ref="J109:M109"/>
    <mergeCell ref="N109:Q109"/>
    <mergeCell ref="R109:U109"/>
    <mergeCell ref="V109:Y109"/>
    <mergeCell ref="Z109:AC109"/>
    <mergeCell ref="N104:Q104"/>
    <mergeCell ref="Z104:AC104"/>
    <mergeCell ref="N105:Q105"/>
    <mergeCell ref="A103:C105"/>
    <mergeCell ref="D103:D105"/>
    <mergeCell ref="E103:E105"/>
    <mergeCell ref="X39:X41"/>
    <mergeCell ref="W39:W41"/>
    <mergeCell ref="AA39:AA41"/>
    <mergeCell ref="AC39:AC41"/>
    <mergeCell ref="Y39:Y41"/>
    <mergeCell ref="Z105:AC105"/>
    <mergeCell ref="V105:Y105"/>
    <mergeCell ref="V103:Y103"/>
    <mergeCell ref="Z103:AC103"/>
    <mergeCell ref="W79:Y79"/>
    <mergeCell ref="V79:V82"/>
    <mergeCell ref="AA71:AC71"/>
    <mergeCell ref="AA72:AC72"/>
    <mergeCell ref="AA73:AC73"/>
    <mergeCell ref="AA69:AC69"/>
    <mergeCell ref="AA51:AC53"/>
    <mergeCell ref="Z67:Z70"/>
    <mergeCell ref="W76:Y76"/>
    <mergeCell ref="V71:V74"/>
    <mergeCell ref="W49:Y49"/>
    <mergeCell ref="W47:Y47"/>
    <mergeCell ref="W48:Y48"/>
    <mergeCell ref="W59:Y59"/>
    <mergeCell ref="W56:Y56"/>
  </mergeCells>
  <phoneticPr fontId="41" type="noConversion"/>
  <printOptions horizontalCentered="1" verticalCentered="1"/>
  <pageMargins left="0.51181102362204722" right="0.51181102362204722" top="0.19685039370078741" bottom="3.937007874015748E-2" header="0" footer="0"/>
  <pageSetup paperSize="9" scale="4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Q115"/>
  <sheetViews>
    <sheetView tabSelected="1" view="pageBreakPreview" zoomScale="85" zoomScaleNormal="100" zoomScaleSheetLayoutView="85" workbookViewId="0">
      <pane xSplit="38" ySplit="9" topLeftCell="AM59" activePane="bottomRight" state="frozen"/>
      <selection pane="topRight" activeCell="AM1" sqref="AM1"/>
      <selection pane="bottomLeft" activeCell="A10" sqref="A10"/>
      <selection pane="bottomRight" activeCell="AR73" sqref="AR73"/>
    </sheetView>
  </sheetViews>
  <sheetFormatPr defaultColWidth="8.8984375" defaultRowHeight="14.4" x14ac:dyDescent="0.25"/>
  <cols>
    <col min="1" max="1" width="4.8984375" style="7" customWidth="1"/>
    <col min="2" max="2" width="4.3984375" style="7" customWidth="1"/>
    <col min="3" max="3" width="7.59765625" style="7" customWidth="1"/>
    <col min="4" max="6" width="6.5" style="7" bestFit="1" customWidth="1"/>
    <col min="7" max="7" width="7.19921875" style="7" customWidth="1"/>
    <col min="8" max="8" width="7.09765625" style="7" customWidth="1"/>
    <col min="9" max="9" width="7" style="7" customWidth="1"/>
    <col min="10" max="10" width="4.796875" style="7" customWidth="1"/>
    <col min="11" max="11" width="3.09765625" style="7" customWidth="1"/>
    <col min="12" max="13" width="3.19921875" style="7" customWidth="1"/>
    <col min="14" max="14" width="5.19921875" style="7" customWidth="1"/>
    <col min="15" max="17" width="3.19921875" style="7" customWidth="1"/>
    <col min="18" max="18" width="5.09765625" style="7" customWidth="1"/>
    <col min="19" max="19" width="3.19921875" style="7" customWidth="1"/>
    <col min="20" max="20" width="3.09765625" style="7" customWidth="1"/>
    <col min="21" max="21" width="2.8984375" style="7" customWidth="1"/>
    <col min="22" max="22" width="4.796875" style="7" customWidth="1"/>
    <col min="23" max="25" width="3.19921875" style="7" customWidth="1"/>
    <col min="26" max="26" width="4.796875" style="7" customWidth="1"/>
    <col min="27" max="29" width="3.19921875" style="7" customWidth="1"/>
    <col min="30" max="30" width="5.69921875" style="7" hidden="1" customWidth="1"/>
    <col min="31" max="36" width="4" style="7" hidden="1" customWidth="1"/>
    <col min="37" max="37" width="3.3984375" style="7" hidden="1" customWidth="1"/>
    <col min="38" max="38" width="4" style="7" hidden="1" customWidth="1"/>
    <col min="39" max="39" width="19.296875" style="7" customWidth="1"/>
  </cols>
  <sheetData>
    <row r="1" spans="1:43" ht="51" customHeight="1" thickBot="1" x14ac:dyDescent="0.3">
      <c r="A1" s="804" t="s">
        <v>81</v>
      </c>
      <c r="B1" s="1466"/>
      <c r="C1" s="1466"/>
      <c r="D1" s="1466"/>
      <c r="E1" s="1466"/>
      <c r="F1" s="1466"/>
      <c r="G1" s="1466"/>
      <c r="H1" s="1466"/>
      <c r="I1" s="1466"/>
      <c r="J1" s="1466"/>
      <c r="K1" s="1466"/>
      <c r="L1" s="1466"/>
      <c r="M1" s="1466"/>
      <c r="N1" s="1466"/>
      <c r="O1" s="1466"/>
      <c r="P1" s="1466"/>
      <c r="Q1" s="1466"/>
      <c r="R1" s="1466"/>
      <c r="S1" s="1466"/>
      <c r="T1" s="1466"/>
      <c r="U1" s="1466"/>
      <c r="V1" s="1466"/>
      <c r="W1" s="1466"/>
      <c r="X1" s="1466"/>
      <c r="Y1" s="1466"/>
      <c r="Z1" s="1466"/>
      <c r="AA1" s="1466"/>
      <c r="AB1" s="1466"/>
      <c r="AC1" s="1466"/>
      <c r="AD1" s="1466"/>
      <c r="AE1" s="1466"/>
      <c r="AF1" s="1466"/>
      <c r="AG1" s="1466"/>
      <c r="AH1" s="1466"/>
      <c r="AI1" s="1466"/>
      <c r="AJ1" s="1466"/>
      <c r="AK1" s="1466"/>
      <c r="AL1" s="1466"/>
      <c r="AM1" s="1466"/>
    </row>
    <row r="2" spans="1:43" ht="23.25" customHeight="1" x14ac:dyDescent="0.25">
      <c r="A2" s="1605" t="s">
        <v>46</v>
      </c>
      <c r="B2" s="1608" t="s">
        <v>51</v>
      </c>
      <c r="C2" s="1611" t="s">
        <v>39</v>
      </c>
      <c r="D2" s="889" t="s">
        <v>5</v>
      </c>
      <c r="E2" s="890"/>
      <c r="F2" s="891"/>
      <c r="G2" s="889" t="s">
        <v>6</v>
      </c>
      <c r="H2" s="890"/>
      <c r="I2" s="891"/>
      <c r="J2" s="1641" t="s">
        <v>0</v>
      </c>
      <c r="K2" s="1642"/>
      <c r="L2" s="1642"/>
      <c r="M2" s="1642"/>
      <c r="N2" s="1642"/>
      <c r="O2" s="1642"/>
      <c r="P2" s="1642"/>
      <c r="Q2" s="1642"/>
      <c r="R2" s="1642"/>
      <c r="S2" s="1642"/>
      <c r="T2" s="1642"/>
      <c r="U2" s="1642"/>
      <c r="V2" s="1642"/>
      <c r="W2" s="1642"/>
      <c r="X2" s="1642"/>
      <c r="Y2" s="1642"/>
      <c r="Z2" s="1642"/>
      <c r="AA2" s="1642"/>
      <c r="AB2" s="1642"/>
      <c r="AC2" s="1642"/>
      <c r="AD2" s="1643"/>
      <c r="AE2" s="987" t="s">
        <v>8</v>
      </c>
      <c r="AF2" s="987"/>
      <c r="AG2" s="987"/>
      <c r="AH2" s="987"/>
      <c r="AI2" s="987"/>
      <c r="AJ2" s="987"/>
      <c r="AK2" s="987"/>
      <c r="AL2" s="987"/>
      <c r="AM2" s="988"/>
    </row>
    <row r="3" spans="1:43" ht="18" customHeight="1" x14ac:dyDescent="0.25">
      <c r="A3" s="1606"/>
      <c r="B3" s="1609"/>
      <c r="C3" s="1612"/>
      <c r="D3" s="989" t="s">
        <v>21</v>
      </c>
      <c r="E3" s="992" t="s">
        <v>16</v>
      </c>
      <c r="F3" s="994" t="s">
        <v>31</v>
      </c>
      <c r="G3" s="989" t="s">
        <v>21</v>
      </c>
      <c r="H3" s="992" t="s">
        <v>16</v>
      </c>
      <c r="I3" s="994" t="s">
        <v>31</v>
      </c>
      <c r="J3" s="1644" t="s">
        <v>9</v>
      </c>
      <c r="K3" s="1644"/>
      <c r="L3" s="1644"/>
      <c r="M3" s="1645"/>
      <c r="N3" s="1648" t="s">
        <v>29</v>
      </c>
      <c r="O3" s="1644"/>
      <c r="P3" s="1644"/>
      <c r="Q3" s="1645"/>
      <c r="R3" s="1648" t="s">
        <v>11</v>
      </c>
      <c r="S3" s="1644"/>
      <c r="T3" s="1644"/>
      <c r="U3" s="1645"/>
      <c r="V3" s="1648" t="s">
        <v>17</v>
      </c>
      <c r="W3" s="1644"/>
      <c r="X3" s="1644"/>
      <c r="Y3" s="1645"/>
      <c r="Z3" s="1648" t="s">
        <v>30</v>
      </c>
      <c r="AA3" s="1644"/>
      <c r="AB3" s="1644"/>
      <c r="AC3" s="1644"/>
      <c r="AD3" s="278" t="s">
        <v>52</v>
      </c>
      <c r="AE3" s="1004" t="s">
        <v>56</v>
      </c>
      <c r="AF3" s="1005"/>
      <c r="AG3" s="1005"/>
      <c r="AH3" s="1005"/>
      <c r="AI3" s="984" t="s">
        <v>15</v>
      </c>
      <c r="AJ3" s="984" t="s">
        <v>44</v>
      </c>
      <c r="AK3" s="984" t="s">
        <v>35</v>
      </c>
      <c r="AL3" s="984" t="s">
        <v>14</v>
      </c>
      <c r="AM3" s="1010" t="s">
        <v>37</v>
      </c>
    </row>
    <row r="4" spans="1:43" ht="18" customHeight="1" x14ac:dyDescent="0.25">
      <c r="A4" s="1606"/>
      <c r="B4" s="1609"/>
      <c r="C4" s="1612"/>
      <c r="D4" s="990"/>
      <c r="E4" s="885"/>
      <c r="F4" s="887"/>
      <c r="G4" s="990"/>
      <c r="H4" s="885"/>
      <c r="I4" s="887"/>
      <c r="J4" s="1646"/>
      <c r="K4" s="1646"/>
      <c r="L4" s="1646"/>
      <c r="M4" s="1647"/>
      <c r="N4" s="1649"/>
      <c r="O4" s="1646"/>
      <c r="P4" s="1646"/>
      <c r="Q4" s="1647"/>
      <c r="R4" s="1649"/>
      <c r="S4" s="1646"/>
      <c r="T4" s="1646"/>
      <c r="U4" s="1647"/>
      <c r="V4" s="1649"/>
      <c r="W4" s="1646"/>
      <c r="X4" s="1646"/>
      <c r="Y4" s="1647"/>
      <c r="Z4" s="1649"/>
      <c r="AA4" s="1646"/>
      <c r="AB4" s="1646"/>
      <c r="AC4" s="1646"/>
      <c r="AD4" s="279" t="s">
        <v>42</v>
      </c>
      <c r="AE4" s="1006"/>
      <c r="AF4" s="1006"/>
      <c r="AG4" s="1006"/>
      <c r="AH4" s="1006"/>
      <c r="AI4" s="985"/>
      <c r="AJ4" s="985"/>
      <c r="AK4" s="985"/>
      <c r="AL4" s="1650"/>
      <c r="AM4" s="1652"/>
    </row>
    <row r="5" spans="1:43" ht="24" customHeight="1" thickBot="1" x14ac:dyDescent="0.3">
      <c r="A5" s="1607"/>
      <c r="B5" s="1610"/>
      <c r="C5" s="1613"/>
      <c r="D5" s="991"/>
      <c r="E5" s="993"/>
      <c r="F5" s="888"/>
      <c r="G5" s="991"/>
      <c r="H5" s="993"/>
      <c r="I5" s="888"/>
      <c r="J5" s="280" t="s">
        <v>39</v>
      </c>
      <c r="K5" s="1475" t="s">
        <v>48</v>
      </c>
      <c r="L5" s="1475"/>
      <c r="M5" s="1476"/>
      <c r="N5" s="281" t="s">
        <v>39</v>
      </c>
      <c r="O5" s="1475" t="s">
        <v>48</v>
      </c>
      <c r="P5" s="1475"/>
      <c r="Q5" s="1480"/>
      <c r="R5" s="282" t="s">
        <v>39</v>
      </c>
      <c r="S5" s="1475" t="s">
        <v>48</v>
      </c>
      <c r="T5" s="1475"/>
      <c r="U5" s="1476"/>
      <c r="V5" s="281" t="s">
        <v>39</v>
      </c>
      <c r="W5" s="1475" t="s">
        <v>48</v>
      </c>
      <c r="X5" s="1475"/>
      <c r="Y5" s="1480"/>
      <c r="Z5" s="282" t="s">
        <v>39</v>
      </c>
      <c r="AA5" s="1475" t="s">
        <v>48</v>
      </c>
      <c r="AB5" s="1475"/>
      <c r="AC5" s="1476"/>
      <c r="AD5" s="283" t="s">
        <v>50</v>
      </c>
      <c r="AE5" s="275" t="s">
        <v>43</v>
      </c>
      <c r="AF5" s="276" t="s">
        <v>32</v>
      </c>
      <c r="AG5" s="276" t="s">
        <v>54</v>
      </c>
      <c r="AH5" s="277" t="s">
        <v>41</v>
      </c>
      <c r="AI5" s="986"/>
      <c r="AJ5" s="986"/>
      <c r="AK5" s="986"/>
      <c r="AL5" s="1651"/>
      <c r="AM5" s="1653"/>
    </row>
    <row r="6" spans="1:43" ht="18" hidden="1" customHeight="1" x14ac:dyDescent="0.25">
      <c r="A6" s="1488">
        <v>8</v>
      </c>
      <c r="B6" s="1440">
        <v>1</v>
      </c>
      <c r="C6" s="1624" t="s">
        <v>13</v>
      </c>
      <c r="D6" s="935">
        <f>COUNT(K9,O9,S9,W9,AA9)</f>
        <v>0</v>
      </c>
      <c r="E6" s="935">
        <f>COUNT(L9,P9,T9,X9,AB9)</f>
        <v>0</v>
      </c>
      <c r="F6" s="935">
        <f>COUNT(M9,Q9,U9,Y9,AC9)</f>
        <v>0</v>
      </c>
      <c r="G6" s="1666">
        <f>K9+O9+S9+W9+AA9</f>
        <v>0</v>
      </c>
      <c r="H6" s="935">
        <f>SUM(L9,P9,T9,X9,AB9)</f>
        <v>0</v>
      </c>
      <c r="I6" s="1669">
        <f>SUM(M9,Q9,U9,Y9,AC9)</f>
        <v>0</v>
      </c>
      <c r="J6" s="1631">
        <v>11</v>
      </c>
      <c r="K6" s="1619"/>
      <c r="L6" s="1619"/>
      <c r="M6" s="1620"/>
      <c r="N6" s="1618">
        <v>12</v>
      </c>
      <c r="O6" s="1619"/>
      <c r="P6" s="1619"/>
      <c r="Q6" s="1620"/>
      <c r="R6" s="1626">
        <v>13</v>
      </c>
      <c r="S6" s="1634"/>
      <c r="T6" s="1635"/>
      <c r="U6" s="1636"/>
      <c r="V6" s="1626">
        <v>14</v>
      </c>
      <c r="W6" s="1634"/>
      <c r="X6" s="1635"/>
      <c r="Y6" s="1636"/>
      <c r="Z6" s="1490">
        <v>15</v>
      </c>
      <c r="AA6" s="1493"/>
      <c r="AB6" s="1494"/>
      <c r="AC6" s="1495"/>
      <c r="AD6" s="57"/>
      <c r="AE6" s="104"/>
      <c r="AF6" s="105"/>
      <c r="AG6" s="105"/>
      <c r="AH6" s="105"/>
      <c r="AI6" s="105"/>
      <c r="AJ6" s="105"/>
      <c r="AK6" s="259"/>
      <c r="AL6" s="106"/>
      <c r="AM6" s="1506"/>
    </row>
    <row r="7" spans="1:43" ht="18" hidden="1" customHeight="1" x14ac:dyDescent="0.25">
      <c r="A7" s="1893"/>
      <c r="B7" s="1440"/>
      <c r="C7" s="1624"/>
      <c r="D7" s="1409"/>
      <c r="E7" s="1409"/>
      <c r="F7" s="1409"/>
      <c r="G7" s="1438"/>
      <c r="H7" s="1409"/>
      <c r="I7" s="1410"/>
      <c r="J7" s="1632"/>
      <c r="K7" s="1257"/>
      <c r="L7" s="1257"/>
      <c r="M7" s="1258"/>
      <c r="N7" s="1485"/>
      <c r="O7" s="1257"/>
      <c r="P7" s="1257"/>
      <c r="Q7" s="1258"/>
      <c r="R7" s="1627"/>
      <c r="S7" s="1637"/>
      <c r="T7" s="1638"/>
      <c r="U7" s="1639"/>
      <c r="V7" s="1627"/>
      <c r="W7" s="1637"/>
      <c r="X7" s="1638"/>
      <c r="Y7" s="1639"/>
      <c r="Z7" s="1491"/>
      <c r="AA7" s="1496" t="s">
        <v>45</v>
      </c>
      <c r="AB7" s="1497"/>
      <c r="AC7" s="1498"/>
      <c r="AD7" s="57"/>
      <c r="AE7" s="96"/>
      <c r="AF7" s="97"/>
      <c r="AG7" s="97"/>
      <c r="AH7" s="97"/>
      <c r="AI7" s="97"/>
      <c r="AJ7" s="97"/>
      <c r="AK7" s="113"/>
      <c r="AL7" s="97"/>
      <c r="AM7" s="1507"/>
    </row>
    <row r="8" spans="1:43" ht="18" hidden="1" customHeight="1" x14ac:dyDescent="0.25">
      <c r="A8" s="1893"/>
      <c r="B8" s="1440"/>
      <c r="C8" s="1624"/>
      <c r="D8" s="1409"/>
      <c r="E8" s="1409"/>
      <c r="F8" s="1409"/>
      <c r="G8" s="1438"/>
      <c r="H8" s="1409"/>
      <c r="I8" s="1410"/>
      <c r="J8" s="1632"/>
      <c r="K8" s="1252"/>
      <c r="L8" s="1252"/>
      <c r="M8" s="1253"/>
      <c r="N8" s="1485"/>
      <c r="O8" s="1252"/>
      <c r="P8" s="1252"/>
      <c r="Q8" s="1253"/>
      <c r="R8" s="1627"/>
      <c r="S8" s="1640"/>
      <c r="T8" s="463"/>
      <c r="U8" s="1227"/>
      <c r="V8" s="1627"/>
      <c r="W8" s="1640"/>
      <c r="X8" s="463"/>
      <c r="Y8" s="1227"/>
      <c r="Z8" s="1491"/>
      <c r="AA8" s="1499"/>
      <c r="AB8" s="1500"/>
      <c r="AC8" s="1501"/>
      <c r="AD8" s="57"/>
      <c r="AE8" s="96"/>
      <c r="AF8" s="97"/>
      <c r="AG8" s="97"/>
      <c r="AH8" s="97"/>
      <c r="AI8" s="97"/>
      <c r="AJ8" s="97"/>
      <c r="AK8" s="139"/>
      <c r="AL8" s="97"/>
      <c r="AM8" s="1507"/>
    </row>
    <row r="9" spans="1:43" ht="18" hidden="1" customHeight="1" x14ac:dyDescent="0.25">
      <c r="A9" s="1893"/>
      <c r="B9" s="1440"/>
      <c r="C9" s="1625"/>
      <c r="D9" s="1409"/>
      <c r="E9" s="1409"/>
      <c r="F9" s="1409"/>
      <c r="G9" s="1444"/>
      <c r="H9" s="933"/>
      <c r="I9" s="1411"/>
      <c r="J9" s="1633"/>
      <c r="K9" s="31"/>
      <c r="L9" s="31"/>
      <c r="M9" s="72"/>
      <c r="N9" s="1486"/>
      <c r="O9" s="31"/>
      <c r="P9" s="31"/>
      <c r="Q9" s="72"/>
      <c r="R9" s="1627"/>
      <c r="S9" s="31"/>
      <c r="T9" s="31"/>
      <c r="U9" s="72"/>
      <c r="V9" s="1627"/>
      <c r="W9" s="21"/>
      <c r="X9" s="21"/>
      <c r="Y9" s="62"/>
      <c r="Z9" s="1492"/>
      <c r="AA9" s="144"/>
      <c r="AB9" s="144"/>
      <c r="AC9" s="145"/>
      <c r="AD9" s="57"/>
      <c r="AE9" s="98"/>
      <c r="AF9" s="99"/>
      <c r="AG9" s="99"/>
      <c r="AH9" s="99"/>
      <c r="AI9" s="99"/>
      <c r="AJ9" s="99"/>
      <c r="AK9" s="99"/>
      <c r="AL9" s="99"/>
      <c r="AM9" s="1508"/>
    </row>
    <row r="10" spans="1:43" ht="18" customHeight="1" x14ac:dyDescent="0.25">
      <c r="A10" s="1893"/>
      <c r="B10" s="1445">
        <v>1</v>
      </c>
      <c r="C10" s="1446" t="s">
        <v>83</v>
      </c>
      <c r="D10" s="1409">
        <f>COUNT(K13,O13,S13,W13,AA13)</f>
        <v>4</v>
      </c>
      <c r="E10" s="1409">
        <f>COUNT(L13,P13,T13,X13,AB13)</f>
        <v>4</v>
      </c>
      <c r="F10" s="1409">
        <f>COUNT(M13,Q13,U13,Y13,AC13)</f>
        <v>4</v>
      </c>
      <c r="G10" s="1438">
        <f>SUM(K13,O13,S13,W13,AA13)</f>
        <v>26</v>
      </c>
      <c r="H10" s="1409">
        <f>SUM(L13,P13,T13,X13,AB13)</f>
        <v>26</v>
      </c>
      <c r="I10" s="1410">
        <f>SUM(M13,Q13,U13,Y13,AC13)</f>
        <v>26</v>
      </c>
      <c r="J10" s="1628">
        <v>17</v>
      </c>
      <c r="K10" s="1621"/>
      <c r="L10" s="1622"/>
      <c r="M10" s="1623"/>
      <c r="N10" s="1326">
        <v>18</v>
      </c>
      <c r="O10" s="1614" t="s">
        <v>82</v>
      </c>
      <c r="P10" s="1615"/>
      <c r="Q10" s="1616"/>
      <c r="R10" s="1484">
        <v>19</v>
      </c>
      <c r="S10" s="1684"/>
      <c r="T10" s="1684"/>
      <c r="U10" s="1685"/>
      <c r="V10" s="1477">
        <v>20</v>
      </c>
      <c r="W10" s="1656"/>
      <c r="X10" s="1657"/>
      <c r="Y10" s="1658"/>
      <c r="Z10" s="1477">
        <v>21</v>
      </c>
      <c r="AA10" s="1895"/>
      <c r="AB10" s="1896"/>
      <c r="AC10" s="1897"/>
      <c r="AD10" s="56"/>
      <c r="AE10" s="93"/>
      <c r="AF10" s="94"/>
      <c r="AG10" s="94"/>
      <c r="AH10" s="94"/>
      <c r="AI10" s="94"/>
      <c r="AJ10" s="94"/>
      <c r="AK10" s="95"/>
      <c r="AL10" s="95"/>
      <c r="AM10" s="1504"/>
    </row>
    <row r="11" spans="1:43" ht="18" customHeight="1" x14ac:dyDescent="0.25">
      <c r="A11" s="1893"/>
      <c r="B11" s="1440"/>
      <c r="C11" s="1442"/>
      <c r="D11" s="1409"/>
      <c r="E11" s="1409"/>
      <c r="F11" s="1409"/>
      <c r="G11" s="1438"/>
      <c r="H11" s="1409"/>
      <c r="I11" s="1410"/>
      <c r="J11" s="1629"/>
      <c r="K11" s="533" t="s">
        <v>7</v>
      </c>
      <c r="L11" s="721"/>
      <c r="M11" s="722"/>
      <c r="N11" s="1328"/>
      <c r="O11" s="1467" t="s">
        <v>82</v>
      </c>
      <c r="P11" s="1468"/>
      <c r="Q11" s="1469"/>
      <c r="R11" s="1485"/>
      <c r="S11" s="1307"/>
      <c r="T11" s="1307"/>
      <c r="U11" s="1659"/>
      <c r="V11" s="1478"/>
      <c r="W11" s="1660"/>
      <c r="X11" s="1660"/>
      <c r="Y11" s="1661"/>
      <c r="Z11" s="1478"/>
      <c r="AA11" s="1898"/>
      <c r="AB11" s="1899"/>
      <c r="AC11" s="1900"/>
      <c r="AD11" s="57"/>
      <c r="AE11" s="96"/>
      <c r="AF11" s="97"/>
      <c r="AG11" s="97"/>
      <c r="AH11" s="97"/>
      <c r="AI11" s="97"/>
      <c r="AJ11" s="97"/>
      <c r="AK11" s="113"/>
      <c r="AL11" s="97"/>
      <c r="AM11" s="1505"/>
    </row>
    <row r="12" spans="1:43" ht="18" customHeight="1" x14ac:dyDescent="0.25">
      <c r="A12" s="1893"/>
      <c r="B12" s="1440"/>
      <c r="C12" s="1443"/>
      <c r="D12" s="1409"/>
      <c r="E12" s="1409"/>
      <c r="F12" s="1409"/>
      <c r="G12" s="1438"/>
      <c r="H12" s="1409"/>
      <c r="I12" s="1410"/>
      <c r="J12" s="1629"/>
      <c r="K12" s="796"/>
      <c r="L12" s="797"/>
      <c r="M12" s="798"/>
      <c r="N12" s="1328"/>
      <c r="O12" s="1467" t="s">
        <v>82</v>
      </c>
      <c r="P12" s="1468"/>
      <c r="Q12" s="1469"/>
      <c r="R12" s="1485"/>
      <c r="S12" s="1307"/>
      <c r="T12" s="1307"/>
      <c r="U12" s="1659"/>
      <c r="V12" s="1478"/>
      <c r="W12" s="1660"/>
      <c r="X12" s="1660"/>
      <c r="Y12" s="1661"/>
      <c r="Z12" s="1478"/>
      <c r="AA12" s="1533"/>
      <c r="AB12" s="1534"/>
      <c r="AC12" s="1535"/>
      <c r="AD12" s="57"/>
      <c r="AE12" s="96"/>
      <c r="AF12" s="97"/>
      <c r="AG12" s="97"/>
      <c r="AH12" s="97"/>
      <c r="AI12" s="97"/>
      <c r="AJ12" s="97"/>
      <c r="AK12" s="106"/>
      <c r="AL12" s="97"/>
      <c r="AM12" s="1505"/>
    </row>
    <row r="13" spans="1:43" ht="18" customHeight="1" x14ac:dyDescent="0.25">
      <c r="A13" s="1893"/>
      <c r="B13" s="1440"/>
      <c r="C13" s="1443"/>
      <c r="D13" s="933"/>
      <c r="E13" s="933"/>
      <c r="F13" s="933"/>
      <c r="G13" s="1444"/>
      <c r="H13" s="933"/>
      <c r="I13" s="1411"/>
      <c r="J13" s="1630"/>
      <c r="K13" s="227"/>
      <c r="L13" s="227"/>
      <c r="M13" s="228"/>
      <c r="N13" s="1329"/>
      <c r="O13" s="21">
        <v>7</v>
      </c>
      <c r="P13" s="21">
        <v>7</v>
      </c>
      <c r="Q13" s="62">
        <v>7</v>
      </c>
      <c r="R13" s="1617"/>
      <c r="S13" s="21">
        <v>6</v>
      </c>
      <c r="T13" s="21">
        <v>6</v>
      </c>
      <c r="U13" s="62">
        <v>6</v>
      </c>
      <c r="V13" s="1479"/>
      <c r="W13" s="21">
        <v>7</v>
      </c>
      <c r="X13" s="21">
        <v>7</v>
      </c>
      <c r="Y13" s="62">
        <v>7</v>
      </c>
      <c r="Z13" s="1479"/>
      <c r="AA13" s="21">
        <v>6</v>
      </c>
      <c r="AB13" s="21">
        <v>6</v>
      </c>
      <c r="AC13" s="62">
        <v>6</v>
      </c>
      <c r="AD13" s="57"/>
      <c r="AE13" s="100"/>
      <c r="AF13" s="101"/>
      <c r="AG13" s="101"/>
      <c r="AH13" s="101"/>
      <c r="AI13" s="101"/>
      <c r="AJ13" s="101"/>
      <c r="AK13" s="101"/>
      <c r="AL13" s="101"/>
      <c r="AM13" s="1505"/>
    </row>
    <row r="14" spans="1:43" s="4" customFormat="1" ht="18" customHeight="1" thickBot="1" x14ac:dyDescent="0.3">
      <c r="A14" s="1893"/>
      <c r="B14" s="1445">
        <v>2</v>
      </c>
      <c r="C14" s="1446" t="s">
        <v>84</v>
      </c>
      <c r="D14" s="1409">
        <f>COUNT(K17,O17,S17,W17,AA17)</f>
        <v>5</v>
      </c>
      <c r="E14" s="1409">
        <f>COUNT(L17,P17,T17,X17,AB17)</f>
        <v>5</v>
      </c>
      <c r="F14" s="1409">
        <f>COUNT(M17,Q17,U17,Y17,AC17)</f>
        <v>5</v>
      </c>
      <c r="G14" s="1438">
        <f>SUM(K17,O17,S17,W17,AA17)</f>
        <v>32</v>
      </c>
      <c r="H14" s="1409">
        <f>SUM(L17,P17,T17,X17,AB17)</f>
        <v>32</v>
      </c>
      <c r="I14" s="1410">
        <f>SUM(M17,Q17,U17,Y17,AC17)</f>
        <v>32</v>
      </c>
      <c r="J14" s="1715">
        <v>24</v>
      </c>
      <c r="K14" s="1717"/>
      <c r="L14" s="1717"/>
      <c r="M14" s="1718"/>
      <c r="N14" s="1477">
        <v>25</v>
      </c>
      <c r="O14" s="1717"/>
      <c r="P14" s="1717"/>
      <c r="Q14" s="1718"/>
      <c r="R14" s="1477">
        <v>26</v>
      </c>
      <c r="S14" s="1720"/>
      <c r="T14" s="1720"/>
      <c r="U14" s="1721"/>
      <c r="V14" s="1517">
        <v>27</v>
      </c>
      <c r="W14" s="1688"/>
      <c r="X14" s="1688"/>
      <c r="Y14" s="1689"/>
      <c r="Z14" s="1517">
        <v>28</v>
      </c>
      <c r="AA14" s="1519"/>
      <c r="AB14" s="1519"/>
      <c r="AC14" s="1519"/>
      <c r="AD14" s="80"/>
      <c r="AE14" s="93"/>
      <c r="AF14" s="94"/>
      <c r="AG14" s="94"/>
      <c r="AH14" s="94"/>
      <c r="AI14" s="94"/>
      <c r="AJ14" s="94"/>
      <c r="AK14" s="95"/>
      <c r="AL14" s="95"/>
      <c r="AM14" s="1520"/>
    </row>
    <row r="15" spans="1:43" s="4" customFormat="1" ht="18" customHeight="1" thickBot="1" x14ac:dyDescent="0.3">
      <c r="A15" s="1893"/>
      <c r="B15" s="1440"/>
      <c r="C15" s="1442"/>
      <c r="D15" s="1409"/>
      <c r="E15" s="1409"/>
      <c r="F15" s="1409"/>
      <c r="G15" s="1438"/>
      <c r="H15" s="1409"/>
      <c r="I15" s="1410"/>
      <c r="J15" s="1697"/>
      <c r="K15" s="867"/>
      <c r="L15" s="867"/>
      <c r="M15" s="868"/>
      <c r="N15" s="1478"/>
      <c r="O15" s="1259"/>
      <c r="P15" s="1259"/>
      <c r="Q15" s="1260"/>
      <c r="R15" s="1478"/>
      <c r="S15" s="1678"/>
      <c r="T15" s="1678"/>
      <c r="U15" s="1724"/>
      <c r="V15" s="1364"/>
      <c r="W15" s="1676"/>
      <c r="X15" s="1676"/>
      <c r="Y15" s="1677"/>
      <c r="Z15" s="1364"/>
      <c r="AA15" s="1523"/>
      <c r="AB15" s="1523"/>
      <c r="AC15" s="1524"/>
      <c r="AD15" s="58"/>
      <c r="AE15" s="96"/>
      <c r="AF15" s="97"/>
      <c r="AG15" s="97"/>
      <c r="AH15" s="97"/>
      <c r="AI15" s="97"/>
      <c r="AJ15" s="97"/>
      <c r="AK15" s="113"/>
      <c r="AL15" s="97"/>
      <c r="AM15" s="1521"/>
      <c r="AQ15" s="7" t="s">
        <v>34</v>
      </c>
    </row>
    <row r="16" spans="1:43" s="4" customFormat="1" ht="18" customHeight="1" thickBot="1" x14ac:dyDescent="0.3">
      <c r="A16" s="1893"/>
      <c r="B16" s="1440"/>
      <c r="C16" s="1443"/>
      <c r="D16" s="1409"/>
      <c r="E16" s="1409"/>
      <c r="F16" s="1409"/>
      <c r="G16" s="1438"/>
      <c r="H16" s="1409"/>
      <c r="I16" s="1410"/>
      <c r="J16" s="1697"/>
      <c r="K16" s="1259"/>
      <c r="L16" s="1259"/>
      <c r="M16" s="1260"/>
      <c r="N16" s="1478"/>
      <c r="O16" s="1259"/>
      <c r="P16" s="1259"/>
      <c r="Q16" s="1260"/>
      <c r="R16" s="1478"/>
      <c r="S16" s="1678"/>
      <c r="T16" s="1678"/>
      <c r="U16" s="1679"/>
      <c r="V16" s="1364"/>
      <c r="W16" s="1678"/>
      <c r="X16" s="1678"/>
      <c r="Y16" s="1679"/>
      <c r="Z16" s="1364"/>
      <c r="AA16" s="1361"/>
      <c r="AB16" s="1361"/>
      <c r="AC16" s="1362"/>
      <c r="AD16" s="58"/>
      <c r="AE16" s="96"/>
      <c r="AF16" s="97"/>
      <c r="AG16" s="97"/>
      <c r="AH16" s="97"/>
      <c r="AI16" s="97"/>
      <c r="AJ16" s="97"/>
      <c r="AK16" s="106"/>
      <c r="AL16" s="97"/>
      <c r="AM16" s="1521"/>
    </row>
    <row r="17" spans="1:43" s="4" customFormat="1" ht="18" customHeight="1" x14ac:dyDescent="0.25">
      <c r="A17" s="1893"/>
      <c r="B17" s="1671"/>
      <c r="C17" s="1672"/>
      <c r="D17" s="1409"/>
      <c r="E17" s="1409"/>
      <c r="F17" s="1409"/>
      <c r="G17" s="1438"/>
      <c r="H17" s="1409"/>
      <c r="I17" s="1410"/>
      <c r="J17" s="1716"/>
      <c r="K17" s="27">
        <v>6</v>
      </c>
      <c r="L17" s="27">
        <v>6</v>
      </c>
      <c r="M17" s="28">
        <v>6</v>
      </c>
      <c r="N17" s="1719"/>
      <c r="O17" s="31">
        <v>7</v>
      </c>
      <c r="P17" s="31">
        <v>7</v>
      </c>
      <c r="Q17" s="72">
        <v>7</v>
      </c>
      <c r="R17" s="1719"/>
      <c r="S17" s="31">
        <v>6</v>
      </c>
      <c r="T17" s="31">
        <v>6</v>
      </c>
      <c r="U17" s="72">
        <v>6</v>
      </c>
      <c r="V17" s="1518"/>
      <c r="W17" s="31">
        <v>7</v>
      </c>
      <c r="X17" s="31">
        <v>7</v>
      </c>
      <c r="Y17" s="72">
        <v>7</v>
      </c>
      <c r="Z17" s="1518"/>
      <c r="AA17" s="229">
        <v>6</v>
      </c>
      <c r="AB17" s="229">
        <v>6</v>
      </c>
      <c r="AC17" s="230">
        <v>6</v>
      </c>
      <c r="AD17" s="231"/>
      <c r="AE17" s="232"/>
      <c r="AF17" s="233"/>
      <c r="AG17" s="233"/>
      <c r="AH17" s="233"/>
      <c r="AI17" s="233"/>
      <c r="AJ17" s="233"/>
      <c r="AK17" s="233"/>
      <c r="AL17" s="233"/>
      <c r="AM17" s="1522"/>
      <c r="AN17" s="7"/>
    </row>
    <row r="18" spans="1:43" ht="18" customHeight="1" thickBot="1" x14ac:dyDescent="0.3">
      <c r="A18" s="1893"/>
      <c r="B18" s="1440">
        <v>3</v>
      </c>
      <c r="C18" s="1443">
        <v>31</v>
      </c>
      <c r="D18" s="935">
        <f>COUNT(K21,O21,S21,W21,AA21)</f>
        <v>1</v>
      </c>
      <c r="E18" s="935">
        <f>COUNT(L21,P21,T21,X21,AB21)</f>
        <v>1</v>
      </c>
      <c r="F18" s="935">
        <f>COUNT(M21,Q21,U21,Y21,AC21)</f>
        <v>1</v>
      </c>
      <c r="G18" s="1666">
        <f>SUM(K21,O21,S21,W21,AA21)</f>
        <v>6</v>
      </c>
      <c r="H18" s="935">
        <f>SUM(L21,P21,T21,X21,AB21)</f>
        <v>6</v>
      </c>
      <c r="I18" s="1669">
        <f>SUM(M21,Q21,U21,Y21,AC21)</f>
        <v>6</v>
      </c>
      <c r="J18" s="1696">
        <v>31</v>
      </c>
      <c r="K18" s="1295"/>
      <c r="L18" s="1295"/>
      <c r="M18" s="1296"/>
      <c r="N18" s="1699"/>
      <c r="O18" s="1295"/>
      <c r="P18" s="1295"/>
      <c r="Q18" s="1296"/>
      <c r="R18" s="1699"/>
      <c r="S18" s="1722"/>
      <c r="T18" s="1722"/>
      <c r="U18" s="1723"/>
      <c r="V18" s="1363"/>
      <c r="W18" s="1366"/>
      <c r="X18" s="1366"/>
      <c r="Y18" s="1367"/>
      <c r="Z18" s="1363"/>
      <c r="AA18" s="1383"/>
      <c r="AB18" s="1383"/>
      <c r="AC18" s="1383"/>
      <c r="AD18" s="58"/>
      <c r="AE18" s="104"/>
      <c r="AF18" s="105"/>
      <c r="AG18" s="105"/>
      <c r="AH18" s="105"/>
      <c r="AI18" s="105"/>
      <c r="AJ18" s="105"/>
      <c r="AK18" s="106"/>
      <c r="AL18" s="106"/>
      <c r="AM18" s="1654" t="s">
        <v>128</v>
      </c>
    </row>
    <row r="19" spans="1:43" ht="18" customHeight="1" x14ac:dyDescent="0.25">
      <c r="A19" s="1893"/>
      <c r="B19" s="1440"/>
      <c r="C19" s="1442"/>
      <c r="D19" s="1409"/>
      <c r="E19" s="1409"/>
      <c r="F19" s="1409"/>
      <c r="G19" s="1438"/>
      <c r="H19" s="1409"/>
      <c r="I19" s="1410"/>
      <c r="J19" s="1697"/>
      <c r="K19" s="867"/>
      <c r="L19" s="867"/>
      <c r="M19" s="868"/>
      <c r="N19" s="1478"/>
      <c r="O19" s="1259"/>
      <c r="P19" s="1259"/>
      <c r="Q19" s="1260"/>
      <c r="R19" s="1478"/>
      <c r="S19" s="1678"/>
      <c r="T19" s="1678"/>
      <c r="U19" s="1724"/>
      <c r="V19" s="1364"/>
      <c r="W19" s="1676"/>
      <c r="X19" s="1676"/>
      <c r="Y19" s="1677"/>
      <c r="Z19" s="1364"/>
      <c r="AA19" s="1523"/>
      <c r="AB19" s="1523"/>
      <c r="AC19" s="1524"/>
      <c r="AD19" s="58"/>
      <c r="AE19" s="96"/>
      <c r="AF19" s="97"/>
      <c r="AG19" s="97"/>
      <c r="AH19" s="97"/>
      <c r="AI19" s="97"/>
      <c r="AJ19" s="97"/>
      <c r="AK19" s="113"/>
      <c r="AL19" s="97"/>
      <c r="AM19" s="1655"/>
      <c r="AQ19" s="5" t="s">
        <v>34</v>
      </c>
    </row>
    <row r="20" spans="1:43" ht="18" customHeight="1" x14ac:dyDescent="0.25">
      <c r="A20" s="1893"/>
      <c r="B20" s="1440"/>
      <c r="C20" s="1443"/>
      <c r="D20" s="1409"/>
      <c r="E20" s="1409"/>
      <c r="F20" s="1409"/>
      <c r="G20" s="1438"/>
      <c r="H20" s="1409"/>
      <c r="I20" s="1410"/>
      <c r="J20" s="1697"/>
      <c r="K20" s="1259"/>
      <c r="L20" s="1259"/>
      <c r="M20" s="1260"/>
      <c r="N20" s="1478"/>
      <c r="O20" s="1259"/>
      <c r="P20" s="1259"/>
      <c r="Q20" s="1260"/>
      <c r="R20" s="1478"/>
      <c r="S20" s="1678"/>
      <c r="T20" s="1678"/>
      <c r="U20" s="1679"/>
      <c r="V20" s="1364"/>
      <c r="W20" s="1678"/>
      <c r="X20" s="1678"/>
      <c r="Y20" s="1679"/>
      <c r="Z20" s="1364"/>
      <c r="AA20" s="1361"/>
      <c r="AB20" s="1361"/>
      <c r="AC20" s="1362"/>
      <c r="AD20" s="58"/>
      <c r="AE20" s="96"/>
      <c r="AF20" s="97"/>
      <c r="AG20" s="97"/>
      <c r="AH20" s="97"/>
      <c r="AI20" s="97"/>
      <c r="AJ20" s="97"/>
      <c r="AK20" s="106"/>
      <c r="AL20" s="97"/>
      <c r="AM20" s="1655"/>
    </row>
    <row r="21" spans="1:43" ht="18" customHeight="1" thickBot="1" x14ac:dyDescent="0.3">
      <c r="A21" s="1894"/>
      <c r="B21" s="1665"/>
      <c r="C21" s="1673"/>
      <c r="D21" s="1668"/>
      <c r="E21" s="1668"/>
      <c r="F21" s="1668"/>
      <c r="G21" s="1667"/>
      <c r="H21" s="1668"/>
      <c r="I21" s="1670"/>
      <c r="J21" s="1698"/>
      <c r="K21" s="25">
        <v>6</v>
      </c>
      <c r="L21" s="25">
        <v>6</v>
      </c>
      <c r="M21" s="26">
        <v>6</v>
      </c>
      <c r="N21" s="1700"/>
      <c r="O21" s="30"/>
      <c r="P21" s="30"/>
      <c r="Q21" s="146"/>
      <c r="R21" s="1700"/>
      <c r="S21" s="30"/>
      <c r="T21" s="30"/>
      <c r="U21" s="146"/>
      <c r="V21" s="1365"/>
      <c r="W21" s="30"/>
      <c r="X21" s="30"/>
      <c r="Y21" s="146"/>
      <c r="Z21" s="1365"/>
      <c r="AA21" s="81"/>
      <c r="AB21" s="81"/>
      <c r="AC21" s="82"/>
      <c r="AD21" s="83"/>
      <c r="AE21" s="102"/>
      <c r="AF21" s="103"/>
      <c r="AG21" s="103"/>
      <c r="AH21" s="103"/>
      <c r="AI21" s="103"/>
      <c r="AJ21" s="103"/>
      <c r="AK21" s="103"/>
      <c r="AL21" s="103"/>
      <c r="AM21" s="1655"/>
      <c r="AN21" s="6"/>
    </row>
    <row r="22" spans="1:43" ht="18" customHeight="1" x14ac:dyDescent="0.25">
      <c r="A22" s="1487">
        <v>9</v>
      </c>
      <c r="B22" s="1674">
        <v>3</v>
      </c>
      <c r="C22" s="1675" t="s">
        <v>85</v>
      </c>
      <c r="D22" s="1663">
        <f>COUNT(K25,O25,S25,W25,AA25)</f>
        <v>4</v>
      </c>
      <c r="E22" s="1663">
        <f>COUNT(L25,P25,T25,X25,AB25)</f>
        <v>4</v>
      </c>
      <c r="F22" s="1663">
        <f>COUNT(M25,Q25,U25,Y25,AC25)</f>
        <v>4</v>
      </c>
      <c r="G22" s="1662">
        <f>SUM(K25,O25,S25,W25,AA25)</f>
        <v>27</v>
      </c>
      <c r="H22" s="1663">
        <f>SUM(L25,P25,T25,X25,AB25)</f>
        <v>27</v>
      </c>
      <c r="I22" s="1664">
        <f>SUM(M25,Q25,U25,Y25,AC25)</f>
        <v>27</v>
      </c>
      <c r="J22" s="1702"/>
      <c r="K22" s="1473"/>
      <c r="L22" s="1473"/>
      <c r="M22" s="1474"/>
      <c r="N22" s="1703">
        <v>1</v>
      </c>
      <c r="O22" s="1709"/>
      <c r="P22" s="1710"/>
      <c r="Q22" s="1711"/>
      <c r="R22" s="1701">
        <v>2</v>
      </c>
      <c r="S22" s="1680" t="s">
        <v>1</v>
      </c>
      <c r="T22" s="1680"/>
      <c r="U22" s="1681"/>
      <c r="V22" s="1530">
        <v>3</v>
      </c>
      <c r="W22" s="1531"/>
      <c r="X22" s="1531"/>
      <c r="Y22" s="1532"/>
      <c r="Z22" s="1530">
        <v>4</v>
      </c>
      <c r="AA22" s="1531"/>
      <c r="AB22" s="1531"/>
      <c r="AC22" s="1532"/>
      <c r="AD22" s="234"/>
      <c r="AE22" s="235"/>
      <c r="AF22" s="236"/>
      <c r="AG22" s="236"/>
      <c r="AH22" s="236"/>
      <c r="AI22" s="236"/>
      <c r="AJ22" s="236"/>
      <c r="AK22" s="237"/>
      <c r="AL22" s="237"/>
      <c r="AM22" s="1568" t="s">
        <v>127</v>
      </c>
    </row>
    <row r="23" spans="1:43" ht="18" customHeight="1" x14ac:dyDescent="0.25">
      <c r="A23" s="1488"/>
      <c r="B23" s="1440"/>
      <c r="C23" s="1442"/>
      <c r="D23" s="1409"/>
      <c r="E23" s="1409"/>
      <c r="F23" s="1409"/>
      <c r="G23" s="1438"/>
      <c r="H23" s="1409"/>
      <c r="I23" s="1410"/>
      <c r="J23" s="1632"/>
      <c r="K23" s="1252"/>
      <c r="L23" s="1252"/>
      <c r="M23" s="1579"/>
      <c r="N23" s="1485"/>
      <c r="O23" s="1481"/>
      <c r="P23" s="1482"/>
      <c r="Q23" s="1483"/>
      <c r="R23" s="1416"/>
      <c r="S23" s="1682" t="s">
        <v>1</v>
      </c>
      <c r="T23" s="1682"/>
      <c r="U23" s="1683"/>
      <c r="V23" s="1478"/>
      <c r="W23" s="1259"/>
      <c r="X23" s="1259"/>
      <c r="Y23" s="1260"/>
      <c r="Z23" s="1478"/>
      <c r="AA23" s="1528"/>
      <c r="AB23" s="1528"/>
      <c r="AC23" s="1529"/>
      <c r="AD23" s="57"/>
      <c r="AE23" s="96"/>
      <c r="AF23" s="97"/>
      <c r="AG23" s="97"/>
      <c r="AH23" s="97"/>
      <c r="AI23" s="97"/>
      <c r="AJ23" s="97"/>
      <c r="AK23" s="106"/>
      <c r="AL23" s="97"/>
      <c r="AM23" s="1502"/>
    </row>
    <row r="24" spans="1:43" ht="18" customHeight="1" x14ac:dyDescent="0.25">
      <c r="A24" s="1488"/>
      <c r="B24" s="1440"/>
      <c r="C24" s="1443"/>
      <c r="D24" s="1409"/>
      <c r="E24" s="1409"/>
      <c r="F24" s="1409"/>
      <c r="G24" s="1438"/>
      <c r="H24" s="1409"/>
      <c r="I24" s="1410"/>
      <c r="J24" s="1632"/>
      <c r="K24" s="1252"/>
      <c r="L24" s="1252"/>
      <c r="M24" s="1579"/>
      <c r="N24" s="1485"/>
      <c r="O24" s="1707"/>
      <c r="P24" s="1707"/>
      <c r="Q24" s="1708"/>
      <c r="R24" s="1416"/>
      <c r="S24" s="1686" t="s">
        <v>18</v>
      </c>
      <c r="T24" s="1686"/>
      <c r="U24" s="1687"/>
      <c r="V24" s="1478"/>
      <c r="W24" s="238"/>
      <c r="X24" s="238"/>
      <c r="Y24" s="86"/>
      <c r="Z24" s="1478"/>
      <c r="AA24" s="1576"/>
      <c r="AB24" s="1577"/>
      <c r="AC24" s="1578"/>
      <c r="AD24" s="57"/>
      <c r="AE24" s="96"/>
      <c r="AF24" s="97"/>
      <c r="AG24" s="97"/>
      <c r="AH24" s="97"/>
      <c r="AI24" s="97"/>
      <c r="AJ24" s="97"/>
      <c r="AK24" s="106"/>
      <c r="AL24" s="97"/>
      <c r="AM24" s="1502"/>
    </row>
    <row r="25" spans="1:43" ht="18" customHeight="1" x14ac:dyDescent="0.25">
      <c r="A25" s="1488"/>
      <c r="B25" s="1447"/>
      <c r="C25" s="1448"/>
      <c r="D25" s="933"/>
      <c r="E25" s="1409"/>
      <c r="F25" s="1409"/>
      <c r="G25" s="1438"/>
      <c r="H25" s="1409"/>
      <c r="I25" s="1410"/>
      <c r="J25" s="1633"/>
      <c r="K25" s="31"/>
      <c r="L25" s="31"/>
      <c r="M25" s="72"/>
      <c r="N25" s="1486"/>
      <c r="O25" s="147">
        <v>7</v>
      </c>
      <c r="P25" s="147">
        <v>7</v>
      </c>
      <c r="Q25" s="148">
        <v>7</v>
      </c>
      <c r="R25" s="1417"/>
      <c r="S25" s="31">
        <v>7</v>
      </c>
      <c r="T25" s="31">
        <v>7</v>
      </c>
      <c r="U25" s="32">
        <v>7</v>
      </c>
      <c r="V25" s="1479"/>
      <c r="W25" s="22">
        <v>7</v>
      </c>
      <c r="X25" s="22">
        <v>7</v>
      </c>
      <c r="Y25" s="24">
        <v>7</v>
      </c>
      <c r="Z25" s="1479"/>
      <c r="AA25" s="22">
        <v>6</v>
      </c>
      <c r="AB25" s="22">
        <v>6</v>
      </c>
      <c r="AC25" s="24">
        <v>6</v>
      </c>
      <c r="AD25" s="59"/>
      <c r="AE25" s="232"/>
      <c r="AF25" s="233"/>
      <c r="AG25" s="233"/>
      <c r="AH25" s="233"/>
      <c r="AI25" s="233"/>
      <c r="AJ25" s="233"/>
      <c r="AK25" s="233"/>
      <c r="AL25" s="233"/>
      <c r="AM25" s="1503"/>
    </row>
    <row r="26" spans="1:43" ht="18" customHeight="1" x14ac:dyDescent="0.25">
      <c r="A26" s="1488"/>
      <c r="B26" s="1439">
        <v>4</v>
      </c>
      <c r="C26" s="1441" t="s">
        <v>86</v>
      </c>
      <c r="D26" s="1409">
        <f>COUNT(K29,O29,S29,W29,AA29)</f>
        <v>5</v>
      </c>
      <c r="E26" s="1409">
        <f>COUNT(L29,P29,T29,X29,AB29)</f>
        <v>5</v>
      </c>
      <c r="F26" s="1409">
        <f>COUNT(M29,Q29,U29,Y29,AC29)</f>
        <v>5</v>
      </c>
      <c r="G26" s="1438">
        <f>SUM(K29,O29,S29,W29,AA29)</f>
        <v>32</v>
      </c>
      <c r="H26" s="1409">
        <f>SUM(L29,P29,T29,X29,AB29)</f>
        <v>32</v>
      </c>
      <c r="I26" s="1410">
        <f>SUM(M29,Q29,U29,Y29,AC29)</f>
        <v>32</v>
      </c>
      <c r="J26" s="1484">
        <v>7</v>
      </c>
      <c r="K26" s="1692"/>
      <c r="L26" s="1692"/>
      <c r="M26" s="1693"/>
      <c r="N26" s="1484">
        <v>8</v>
      </c>
      <c r="O26" s="1692"/>
      <c r="P26" s="1692"/>
      <c r="Q26" s="1693"/>
      <c r="R26" s="1525">
        <v>9</v>
      </c>
      <c r="S26" s="1694"/>
      <c r="T26" s="1694"/>
      <c r="U26" s="1695"/>
      <c r="V26" s="1484">
        <v>10</v>
      </c>
      <c r="W26" s="1713"/>
      <c r="X26" s="1713"/>
      <c r="Y26" s="1714"/>
      <c r="Z26" s="1525">
        <v>11</v>
      </c>
      <c r="AA26" s="1368"/>
      <c r="AB26" s="1368"/>
      <c r="AC26" s="1369"/>
      <c r="AD26" s="56"/>
      <c r="AE26" s="104"/>
      <c r="AF26" s="105"/>
      <c r="AG26" s="105"/>
      <c r="AH26" s="105"/>
      <c r="AI26" s="105"/>
      <c r="AJ26" s="105"/>
      <c r="AK26" s="106"/>
      <c r="AL26" s="106"/>
      <c r="AM26" s="1505"/>
    </row>
    <row r="27" spans="1:43" ht="18" customHeight="1" x14ac:dyDescent="0.25">
      <c r="A27" s="1488"/>
      <c r="B27" s="1440"/>
      <c r="C27" s="1442"/>
      <c r="D27" s="1409"/>
      <c r="E27" s="1409"/>
      <c r="F27" s="1409"/>
      <c r="G27" s="1438"/>
      <c r="H27" s="1409"/>
      <c r="I27" s="1410"/>
      <c r="J27" s="1485"/>
      <c r="K27" s="1690"/>
      <c r="L27" s="1690"/>
      <c r="M27" s="1691"/>
      <c r="N27" s="1485"/>
      <c r="O27" s="1690"/>
      <c r="P27" s="1690"/>
      <c r="Q27" s="1691"/>
      <c r="R27" s="1526"/>
      <c r="S27" s="1735"/>
      <c r="T27" s="1252"/>
      <c r="U27" s="1253"/>
      <c r="V27" s="1485"/>
      <c r="W27" s="2018"/>
      <c r="X27" s="2018"/>
      <c r="Y27" s="2019"/>
      <c r="Z27" s="1526"/>
      <c r="AA27" s="1252"/>
      <c r="AB27" s="1252"/>
      <c r="AC27" s="1579"/>
      <c r="AD27" s="57"/>
      <c r="AE27" s="96"/>
      <c r="AF27" s="97"/>
      <c r="AG27" s="97"/>
      <c r="AH27" s="97"/>
      <c r="AI27" s="97"/>
      <c r="AJ27" s="97"/>
      <c r="AK27" s="106" t="s">
        <v>34</v>
      </c>
      <c r="AL27" s="97"/>
      <c r="AM27" s="1512"/>
    </row>
    <row r="28" spans="1:43" ht="18" customHeight="1" x14ac:dyDescent="0.25">
      <c r="A28" s="1488"/>
      <c r="B28" s="1440"/>
      <c r="C28" s="1443"/>
      <c r="D28" s="1409"/>
      <c r="E28" s="1409"/>
      <c r="F28" s="1409"/>
      <c r="G28" s="1438"/>
      <c r="H28" s="1409"/>
      <c r="I28" s="1410"/>
      <c r="J28" s="1485"/>
      <c r="K28" s="1370"/>
      <c r="L28" s="1370"/>
      <c r="M28" s="1704"/>
      <c r="N28" s="1485"/>
      <c r="O28" s="1370"/>
      <c r="P28" s="1370"/>
      <c r="Q28" s="1704"/>
      <c r="R28" s="1526"/>
      <c r="S28" s="1470"/>
      <c r="T28" s="1471"/>
      <c r="U28" s="1472"/>
      <c r="V28" s="1485"/>
      <c r="W28" s="1705"/>
      <c r="X28" s="1705"/>
      <c r="Y28" s="1706"/>
      <c r="Z28" s="1526"/>
      <c r="AA28" s="1370"/>
      <c r="AB28" s="1370"/>
      <c r="AC28" s="1371"/>
      <c r="AD28" s="57"/>
      <c r="AE28" s="96"/>
      <c r="AF28" s="97"/>
      <c r="AG28" s="97"/>
      <c r="AH28" s="97"/>
      <c r="AI28" s="97"/>
      <c r="AJ28" s="97"/>
      <c r="AK28" s="106"/>
      <c r="AL28" s="97"/>
      <c r="AM28" s="1512"/>
    </row>
    <row r="29" spans="1:43" ht="18" customHeight="1" x14ac:dyDescent="0.25">
      <c r="A29" s="1488"/>
      <c r="B29" s="1440"/>
      <c r="C29" s="1443"/>
      <c r="D29" s="933"/>
      <c r="E29" s="933"/>
      <c r="F29" s="933"/>
      <c r="G29" s="1444"/>
      <c r="H29" s="933"/>
      <c r="I29" s="1411"/>
      <c r="J29" s="1617"/>
      <c r="K29" s="31">
        <v>6</v>
      </c>
      <c r="L29" s="31">
        <v>6</v>
      </c>
      <c r="M29" s="32">
        <v>6</v>
      </c>
      <c r="N29" s="1486"/>
      <c r="O29" s="31">
        <v>7</v>
      </c>
      <c r="P29" s="31">
        <v>7</v>
      </c>
      <c r="Q29" s="32">
        <v>7</v>
      </c>
      <c r="R29" s="1712"/>
      <c r="S29" s="31">
        <v>6</v>
      </c>
      <c r="T29" s="31">
        <v>6</v>
      </c>
      <c r="U29" s="32">
        <v>6</v>
      </c>
      <c r="V29" s="1617"/>
      <c r="W29" s="214">
        <v>7</v>
      </c>
      <c r="X29" s="214">
        <v>7</v>
      </c>
      <c r="Y29" s="215">
        <v>7</v>
      </c>
      <c r="Z29" s="1527"/>
      <c r="AA29" s="214">
        <v>6</v>
      </c>
      <c r="AB29" s="214">
        <v>6</v>
      </c>
      <c r="AC29" s="62">
        <v>6</v>
      </c>
      <c r="AD29" s="57"/>
      <c r="AE29" s="232"/>
      <c r="AF29" s="233"/>
      <c r="AG29" s="233"/>
      <c r="AH29" s="233"/>
      <c r="AI29" s="233"/>
      <c r="AJ29" s="233"/>
      <c r="AK29" s="233"/>
      <c r="AL29" s="233"/>
      <c r="AM29" s="1512"/>
    </row>
    <row r="30" spans="1:43" ht="18" customHeight="1" x14ac:dyDescent="0.25">
      <c r="A30" s="1488"/>
      <c r="B30" s="1445">
        <v>5</v>
      </c>
      <c r="C30" s="1446" t="s">
        <v>87</v>
      </c>
      <c r="D30" s="1449">
        <f>COUNT(K33,O33,S33,W33,AA33)</f>
        <v>5</v>
      </c>
      <c r="E30" s="1452">
        <f>COUNT(L33,P33,T33,X33,AB33)</f>
        <v>5</v>
      </c>
      <c r="F30" s="1455">
        <f>COUNT(M33,Q33,U33,Y33,AC33)</f>
        <v>5</v>
      </c>
      <c r="G30" s="1438">
        <f>SUM(K33,O33,S33,W33,AA33)</f>
        <v>32</v>
      </c>
      <c r="H30" s="1409">
        <f>SUM(L33,P33,T33,X33,AB33)</f>
        <v>32</v>
      </c>
      <c r="I30" s="1410">
        <f>SUM(M33,Q33,U33,Y33,AC33)</f>
        <v>32</v>
      </c>
      <c r="J30" s="1525">
        <v>14</v>
      </c>
      <c r="K30" s="1725"/>
      <c r="L30" s="1725"/>
      <c r="M30" s="1726"/>
      <c r="N30" s="1484">
        <v>15</v>
      </c>
      <c r="O30" s="1725"/>
      <c r="P30" s="1725"/>
      <c r="Q30" s="1726"/>
      <c r="R30" s="1525">
        <v>16</v>
      </c>
      <c r="S30" s="1684"/>
      <c r="T30" s="1684"/>
      <c r="U30" s="1729"/>
      <c r="V30" s="1484">
        <v>17</v>
      </c>
      <c r="W30" s="1725"/>
      <c r="X30" s="1725"/>
      <c r="Y30" s="1726"/>
      <c r="Z30" s="1525">
        <v>18</v>
      </c>
      <c r="AA30" s="1713"/>
      <c r="AB30" s="1713"/>
      <c r="AC30" s="1728"/>
      <c r="AD30" s="56"/>
      <c r="AE30" s="93"/>
      <c r="AF30" s="94"/>
      <c r="AG30" s="94"/>
      <c r="AH30" s="94"/>
      <c r="AI30" s="94"/>
      <c r="AJ30" s="94"/>
      <c r="AK30" s="95"/>
      <c r="AL30" s="95"/>
      <c r="AM30" s="1504"/>
    </row>
    <row r="31" spans="1:43" ht="18" customHeight="1" x14ac:dyDescent="0.25">
      <c r="A31" s="1488"/>
      <c r="B31" s="1440"/>
      <c r="C31" s="1442"/>
      <c r="D31" s="1450"/>
      <c r="E31" s="1453"/>
      <c r="F31" s="1456"/>
      <c r="G31" s="1438"/>
      <c r="H31" s="1409"/>
      <c r="I31" s="1410"/>
      <c r="J31" s="1526"/>
      <c r="K31" s="1690"/>
      <c r="L31" s="1690"/>
      <c r="M31" s="1691"/>
      <c r="N31" s="1485"/>
      <c r="O31" s="1690"/>
      <c r="P31" s="1690"/>
      <c r="Q31" s="1691"/>
      <c r="R31" s="1526"/>
      <c r="S31" s="1735"/>
      <c r="T31" s="1252"/>
      <c r="U31" s="1253"/>
      <c r="V31" s="1485"/>
      <c r="W31" s="1733"/>
      <c r="X31" s="1733"/>
      <c r="Y31" s="1734"/>
      <c r="Z31" s="1727"/>
      <c r="AA31" s="1730"/>
      <c r="AB31" s="1731"/>
      <c r="AC31" s="1732"/>
      <c r="AD31" s="57"/>
      <c r="AE31" s="96"/>
      <c r="AF31" s="97"/>
      <c r="AG31" s="97"/>
      <c r="AH31" s="97"/>
      <c r="AI31" s="97"/>
      <c r="AJ31" s="97"/>
      <c r="AK31" s="113"/>
      <c r="AL31" s="97"/>
      <c r="AM31" s="1505"/>
    </row>
    <row r="32" spans="1:43" ht="18" customHeight="1" x14ac:dyDescent="0.25">
      <c r="A32" s="1488"/>
      <c r="B32" s="1440"/>
      <c r="C32" s="1442"/>
      <c r="D32" s="1450"/>
      <c r="E32" s="1453"/>
      <c r="F32" s="1456"/>
      <c r="G32" s="1438"/>
      <c r="H32" s="1409"/>
      <c r="I32" s="1410"/>
      <c r="J32" s="1526"/>
      <c r="K32" s="1370"/>
      <c r="L32" s="1370"/>
      <c r="M32" s="1704"/>
      <c r="N32" s="1485"/>
      <c r="O32" s="1370"/>
      <c r="P32" s="1370"/>
      <c r="Q32" s="1704"/>
      <c r="R32" s="1526"/>
      <c r="S32" s="1470"/>
      <c r="T32" s="1471"/>
      <c r="U32" s="1472"/>
      <c r="V32" s="1485"/>
      <c r="W32" s="1307"/>
      <c r="X32" s="1307"/>
      <c r="Y32" s="1308"/>
      <c r="Z32" s="1526"/>
      <c r="AA32" s="1252"/>
      <c r="AB32" s="1252"/>
      <c r="AC32" s="1579"/>
      <c r="AD32" s="57"/>
      <c r="AE32" s="96"/>
      <c r="AF32" s="97"/>
      <c r="AG32" s="97"/>
      <c r="AH32" s="97"/>
      <c r="AI32" s="97"/>
      <c r="AJ32" s="97"/>
      <c r="AK32" s="106"/>
      <c r="AL32" s="97"/>
      <c r="AM32" s="1505"/>
    </row>
    <row r="33" spans="1:40" ht="18" customHeight="1" x14ac:dyDescent="0.25">
      <c r="A33" s="1488"/>
      <c r="B33" s="1440"/>
      <c r="C33" s="1443"/>
      <c r="D33" s="1451"/>
      <c r="E33" s="1454"/>
      <c r="F33" s="1457"/>
      <c r="G33" s="1444"/>
      <c r="H33" s="933"/>
      <c r="I33" s="1410"/>
      <c r="J33" s="1712"/>
      <c r="K33" s="31">
        <v>6</v>
      </c>
      <c r="L33" s="31">
        <v>6</v>
      </c>
      <c r="M33" s="32">
        <v>6</v>
      </c>
      <c r="N33" s="1486"/>
      <c r="O33" s="31">
        <v>7</v>
      </c>
      <c r="P33" s="31">
        <v>7</v>
      </c>
      <c r="Q33" s="32">
        <v>7</v>
      </c>
      <c r="R33" s="1527"/>
      <c r="S33" s="31">
        <v>6</v>
      </c>
      <c r="T33" s="31">
        <v>6</v>
      </c>
      <c r="U33" s="32">
        <v>6</v>
      </c>
      <c r="V33" s="1486"/>
      <c r="W33" s="31">
        <v>7</v>
      </c>
      <c r="X33" s="31">
        <v>7</v>
      </c>
      <c r="Y33" s="32">
        <v>7</v>
      </c>
      <c r="Z33" s="1527"/>
      <c r="AA33" s="31">
        <v>6</v>
      </c>
      <c r="AB33" s="31">
        <v>6</v>
      </c>
      <c r="AC33" s="72">
        <v>6</v>
      </c>
      <c r="AD33" s="57"/>
      <c r="AE33" s="100"/>
      <c r="AF33" s="101"/>
      <c r="AG33" s="101"/>
      <c r="AH33" s="101"/>
      <c r="AI33" s="101"/>
      <c r="AJ33" s="101"/>
      <c r="AK33" s="101"/>
      <c r="AL33" s="101"/>
      <c r="AM33" s="1567"/>
      <c r="AN33" s="5"/>
    </row>
    <row r="34" spans="1:40" ht="18" customHeight="1" x14ac:dyDescent="0.25">
      <c r="A34" s="1488"/>
      <c r="B34" s="1458">
        <v>6</v>
      </c>
      <c r="C34" s="1461" t="s">
        <v>88</v>
      </c>
      <c r="D34" s="1465">
        <f>COUNT(K37,O37,S37,W37,AA37)</f>
        <v>3</v>
      </c>
      <c r="E34" s="1465">
        <f>COUNT(L37,P37,T37,X37,AB37)</f>
        <v>3</v>
      </c>
      <c r="F34" s="1465">
        <f>COUNT(M37,Q37,U37,Y37,AC37)</f>
        <v>3</v>
      </c>
      <c r="G34" s="1736">
        <f>SUM(K37,O37,S37,W37,AA37)</f>
        <v>19</v>
      </c>
      <c r="H34" s="1465">
        <f>SUM(L37,P37,T37,X37,AB37)</f>
        <v>19</v>
      </c>
      <c r="I34" s="1749">
        <f>SUM(M37,Q37,U37,Y37,AC37)</f>
        <v>19</v>
      </c>
      <c r="J34" s="1750">
        <v>21</v>
      </c>
      <c r="K34" s="1739"/>
      <c r="L34" s="1739"/>
      <c r="M34" s="1740"/>
      <c r="N34" s="1753">
        <v>22</v>
      </c>
      <c r="O34" s="1743"/>
      <c r="P34" s="1744"/>
      <c r="Q34" s="1745"/>
      <c r="R34" s="588">
        <v>23</v>
      </c>
      <c r="S34" s="1737"/>
      <c r="T34" s="1737"/>
      <c r="U34" s="1738"/>
      <c r="V34" s="1556">
        <v>24</v>
      </c>
      <c r="W34" s="1541"/>
      <c r="X34" s="1542"/>
      <c r="Y34" s="1543"/>
      <c r="Z34" s="1553">
        <v>25</v>
      </c>
      <c r="AA34" s="1541"/>
      <c r="AB34" s="1542"/>
      <c r="AC34" s="1543"/>
      <c r="AD34" s="190"/>
      <c r="AE34" s="191"/>
      <c r="AF34" s="192"/>
      <c r="AG34" s="192"/>
      <c r="AH34" s="192"/>
      <c r="AI34" s="192"/>
      <c r="AJ34" s="192"/>
      <c r="AK34" s="193"/>
      <c r="AL34" s="193"/>
      <c r="AM34" s="1502"/>
    </row>
    <row r="35" spans="1:40" ht="18" customHeight="1" x14ac:dyDescent="0.25">
      <c r="A35" s="1488"/>
      <c r="B35" s="1459"/>
      <c r="C35" s="1462"/>
      <c r="D35" s="1465"/>
      <c r="E35" s="1465"/>
      <c r="F35" s="1465"/>
      <c r="G35" s="1736"/>
      <c r="H35" s="1465"/>
      <c r="I35" s="1749"/>
      <c r="J35" s="1751"/>
      <c r="K35" s="1754"/>
      <c r="L35" s="1755"/>
      <c r="M35" s="1756"/>
      <c r="N35" s="1286"/>
      <c r="O35" s="1746"/>
      <c r="P35" s="1747"/>
      <c r="Q35" s="1748"/>
      <c r="R35" s="589"/>
      <c r="S35" s="490"/>
      <c r="T35" s="490"/>
      <c r="U35" s="593"/>
      <c r="V35" s="1401"/>
      <c r="W35" s="1547" t="s">
        <v>20</v>
      </c>
      <c r="X35" s="1548"/>
      <c r="Y35" s="1549"/>
      <c r="Z35" s="1554"/>
      <c r="AA35" s="1547" t="s">
        <v>57</v>
      </c>
      <c r="AB35" s="1548"/>
      <c r="AC35" s="1549"/>
      <c r="AD35" s="194"/>
      <c r="AE35" s="195"/>
      <c r="AF35" s="196"/>
      <c r="AG35" s="196"/>
      <c r="AH35" s="196"/>
      <c r="AI35" s="196"/>
      <c r="AJ35" s="196"/>
      <c r="AK35" s="197"/>
      <c r="AL35" s="196"/>
      <c r="AM35" s="1502"/>
    </row>
    <row r="36" spans="1:40" ht="20.399999999999999" customHeight="1" x14ac:dyDescent="0.25">
      <c r="A36" s="1488"/>
      <c r="B36" s="1459"/>
      <c r="C36" s="1463"/>
      <c r="D36" s="1465"/>
      <c r="E36" s="1465"/>
      <c r="F36" s="1465"/>
      <c r="G36" s="1736"/>
      <c r="H36" s="1465"/>
      <c r="I36" s="1749"/>
      <c r="J36" s="1751"/>
      <c r="K36" s="1741"/>
      <c r="L36" s="1741"/>
      <c r="M36" s="1742"/>
      <c r="N36" s="1286"/>
      <c r="O36" s="1746"/>
      <c r="P36" s="1747"/>
      <c r="Q36" s="1748"/>
      <c r="R36" s="589"/>
      <c r="S36" s="490"/>
      <c r="T36" s="490"/>
      <c r="U36" s="593"/>
      <c r="V36" s="1401"/>
      <c r="W36" s="1544"/>
      <c r="X36" s="1545"/>
      <c r="Y36" s="1546"/>
      <c r="Z36" s="1554"/>
      <c r="AA36" s="1544"/>
      <c r="AB36" s="1545"/>
      <c r="AC36" s="1546"/>
      <c r="AD36" s="194"/>
      <c r="AE36" s="195"/>
      <c r="AF36" s="196"/>
      <c r="AG36" s="196"/>
      <c r="AH36" s="196"/>
      <c r="AI36" s="196"/>
      <c r="AJ36" s="196"/>
      <c r="AK36" s="198"/>
      <c r="AL36" s="196"/>
      <c r="AM36" s="1502"/>
    </row>
    <row r="37" spans="1:40" ht="18" customHeight="1" x14ac:dyDescent="0.25">
      <c r="A37" s="1488"/>
      <c r="B37" s="1460"/>
      <c r="C37" s="1464"/>
      <c r="D37" s="1465"/>
      <c r="E37" s="1465"/>
      <c r="F37" s="1465"/>
      <c r="G37" s="1736"/>
      <c r="H37" s="1465"/>
      <c r="I37" s="1749"/>
      <c r="J37" s="1752"/>
      <c r="K37" s="199">
        <v>6</v>
      </c>
      <c r="L37" s="199">
        <v>6</v>
      </c>
      <c r="M37" s="200">
        <v>6</v>
      </c>
      <c r="N37" s="1287"/>
      <c r="O37" s="199">
        <v>7</v>
      </c>
      <c r="P37" s="199">
        <v>7</v>
      </c>
      <c r="Q37" s="200">
        <v>7</v>
      </c>
      <c r="R37" s="635"/>
      <c r="S37" s="171">
        <v>6</v>
      </c>
      <c r="T37" s="147">
        <v>6</v>
      </c>
      <c r="U37" s="148">
        <v>6</v>
      </c>
      <c r="V37" s="1557"/>
      <c r="W37" s="134"/>
      <c r="X37" s="134"/>
      <c r="Y37" s="189"/>
      <c r="Z37" s="1555"/>
      <c r="AA37" s="134"/>
      <c r="AB37" s="134"/>
      <c r="AC37" s="189"/>
      <c r="AD37" s="201"/>
      <c r="AE37" s="202"/>
      <c r="AF37" s="203"/>
      <c r="AG37" s="203"/>
      <c r="AH37" s="203"/>
      <c r="AI37" s="203"/>
      <c r="AJ37" s="203"/>
      <c r="AK37" s="203"/>
      <c r="AL37" s="203"/>
      <c r="AM37" s="1503"/>
    </row>
    <row r="38" spans="1:40" s="3" customFormat="1" ht="18" customHeight="1" x14ac:dyDescent="0.25">
      <c r="A38" s="1488"/>
      <c r="B38" s="1445">
        <v>7</v>
      </c>
      <c r="C38" s="1463" t="s">
        <v>67</v>
      </c>
      <c r="D38" s="1758">
        <f>COUNT(K41,O41,S41,W41,AA41)</f>
        <v>3</v>
      </c>
      <c r="E38" s="1409">
        <f>COUNT(L41,P41,T41,X41,AB41)</f>
        <v>3</v>
      </c>
      <c r="F38" s="1409">
        <f>COUNT(M41,Q41,U41,Y41,AC41)</f>
        <v>3</v>
      </c>
      <c r="G38" s="1438">
        <f>SUM(K41,O41,S41,W41,AA41)</f>
        <v>19</v>
      </c>
      <c r="H38" s="1409">
        <f>SUM(L41,P41,T41,X41,AB41)</f>
        <v>19</v>
      </c>
      <c r="I38" s="1410">
        <f>SUM(M41,Q41,U41,Y41,AC41)</f>
        <v>19</v>
      </c>
      <c r="J38" s="1983">
        <v>28</v>
      </c>
      <c r="K38" s="364"/>
      <c r="L38" s="365"/>
      <c r="M38" s="366"/>
      <c r="N38" s="1986">
        <v>29</v>
      </c>
      <c r="O38" s="364"/>
      <c r="P38" s="365"/>
      <c r="Q38" s="366"/>
      <c r="R38" s="1986">
        <v>30</v>
      </c>
      <c r="S38" s="2030"/>
      <c r="T38" s="2031"/>
      <c r="U38" s="2032"/>
      <c r="V38" s="1765"/>
      <c r="W38" s="1386"/>
      <c r="X38" s="1387"/>
      <c r="Y38" s="1388"/>
      <c r="Z38" s="1384"/>
      <c r="AA38" s="1314"/>
      <c r="AB38" s="1314"/>
      <c r="AC38" s="1315"/>
      <c r="AD38" s="56"/>
      <c r="AE38" s="93"/>
      <c r="AF38" s="94"/>
      <c r="AG38" s="94"/>
      <c r="AH38" s="94"/>
      <c r="AI38" s="94"/>
      <c r="AJ38" s="94"/>
      <c r="AK38" s="95"/>
      <c r="AL38" s="95"/>
      <c r="AM38" s="682"/>
    </row>
    <row r="39" spans="1:40" s="3" customFormat="1" ht="18" customHeight="1" x14ac:dyDescent="0.25">
      <c r="A39" s="1488"/>
      <c r="B39" s="1440"/>
      <c r="C39" s="1462"/>
      <c r="D39" s="1758"/>
      <c r="E39" s="1409"/>
      <c r="F39" s="1409"/>
      <c r="G39" s="1438"/>
      <c r="H39" s="1409"/>
      <c r="I39" s="1410"/>
      <c r="J39" s="1984"/>
      <c r="K39" s="2024"/>
      <c r="L39" s="2025"/>
      <c r="M39" s="2026"/>
      <c r="N39" s="1987"/>
      <c r="O39" s="2024"/>
      <c r="P39" s="2025"/>
      <c r="Q39" s="2026"/>
      <c r="R39" s="1987"/>
      <c r="S39" s="1378"/>
      <c r="T39" s="1378"/>
      <c r="U39" s="1379"/>
      <c r="V39" s="1766"/>
      <c r="W39" s="1190"/>
      <c r="X39" s="1190"/>
      <c r="Y39" s="1389"/>
      <c r="Z39" s="939"/>
      <c r="AA39" s="463"/>
      <c r="AB39" s="463"/>
      <c r="AC39" s="1227"/>
      <c r="AD39" s="57"/>
      <c r="AE39" s="96"/>
      <c r="AF39" s="97"/>
      <c r="AG39" s="97"/>
      <c r="AH39" s="97"/>
      <c r="AI39" s="97"/>
      <c r="AJ39" s="97"/>
      <c r="AK39" s="113"/>
      <c r="AL39" s="97"/>
      <c r="AM39" s="1509"/>
    </row>
    <row r="40" spans="1:40" s="3" customFormat="1" ht="18" customHeight="1" x14ac:dyDescent="0.25">
      <c r="A40" s="1488"/>
      <c r="B40" s="1440"/>
      <c r="C40" s="1463"/>
      <c r="D40" s="1758"/>
      <c r="E40" s="1409"/>
      <c r="F40" s="1409"/>
      <c r="G40" s="1438"/>
      <c r="H40" s="1409"/>
      <c r="I40" s="1410"/>
      <c r="J40" s="1984"/>
      <c r="K40" s="367"/>
      <c r="L40" s="368"/>
      <c r="M40" s="369"/>
      <c r="N40" s="1987"/>
      <c r="O40" s="367"/>
      <c r="P40" s="368"/>
      <c r="Q40" s="369"/>
      <c r="R40" s="1987"/>
      <c r="S40" s="1248"/>
      <c r="T40" s="1249"/>
      <c r="U40" s="1250"/>
      <c r="V40" s="1766"/>
      <c r="W40" s="1239"/>
      <c r="X40" s="1240"/>
      <c r="Y40" s="1241"/>
      <c r="Z40" s="939"/>
      <c r="AA40" s="463"/>
      <c r="AB40" s="463"/>
      <c r="AC40" s="1227"/>
      <c r="AD40" s="57"/>
      <c r="AE40" s="96"/>
      <c r="AF40" s="97"/>
      <c r="AG40" s="97"/>
      <c r="AH40" s="97"/>
      <c r="AI40" s="97"/>
      <c r="AJ40" s="97"/>
      <c r="AK40" s="106"/>
      <c r="AL40" s="97"/>
      <c r="AM40" s="1509"/>
    </row>
    <row r="41" spans="1:40" s="3" customFormat="1" ht="18" customHeight="1" thickBot="1" x14ac:dyDescent="0.3">
      <c r="A41" s="1489"/>
      <c r="B41" s="1665"/>
      <c r="C41" s="1757"/>
      <c r="D41" s="1759"/>
      <c r="E41" s="1668"/>
      <c r="F41" s="1668"/>
      <c r="G41" s="1667"/>
      <c r="H41" s="1668"/>
      <c r="I41" s="1670"/>
      <c r="J41" s="1985"/>
      <c r="K41" s="370">
        <v>6</v>
      </c>
      <c r="L41" s="371">
        <v>6</v>
      </c>
      <c r="M41" s="372">
        <v>6</v>
      </c>
      <c r="N41" s="1988"/>
      <c r="O41" s="370">
        <v>7</v>
      </c>
      <c r="P41" s="371">
        <v>7</v>
      </c>
      <c r="Q41" s="372">
        <v>7</v>
      </c>
      <c r="R41" s="1988"/>
      <c r="S41" s="370">
        <v>6</v>
      </c>
      <c r="T41" s="371">
        <v>6</v>
      </c>
      <c r="U41" s="372">
        <v>6</v>
      </c>
      <c r="V41" s="1767"/>
      <c r="W41" s="241"/>
      <c r="X41" s="242"/>
      <c r="Y41" s="243"/>
      <c r="Z41" s="1385"/>
      <c r="AA41" s="70"/>
      <c r="AB41" s="91"/>
      <c r="AC41" s="92"/>
      <c r="AD41" s="131"/>
      <c r="AE41" s="102"/>
      <c r="AF41" s="103"/>
      <c r="AG41" s="103"/>
      <c r="AH41" s="103"/>
      <c r="AI41" s="103"/>
      <c r="AJ41" s="103"/>
      <c r="AK41" s="103"/>
      <c r="AL41" s="103"/>
      <c r="AM41" s="1510"/>
    </row>
    <row r="42" spans="1:40" ht="18" customHeight="1" thickBot="1" x14ac:dyDescent="0.3">
      <c r="A42" s="1488">
        <v>10</v>
      </c>
      <c r="B42" s="1440">
        <v>7</v>
      </c>
      <c r="C42" s="1443" t="s">
        <v>89</v>
      </c>
      <c r="D42" s="935">
        <f>COUNT(K45,O45,S45,W45,AA45)</f>
        <v>2</v>
      </c>
      <c r="E42" s="935">
        <f>COUNT(L45,P45,T45,X45,AB45)</f>
        <v>2</v>
      </c>
      <c r="F42" s="935">
        <f>COUNT(M45,Q45,U45,Y45,AC45)</f>
        <v>2</v>
      </c>
      <c r="G42" s="1666">
        <f>SUM(K45,O45,S45,W45,AA45)</f>
        <v>13</v>
      </c>
      <c r="H42" s="935">
        <f>SUM(L45,P45,T45,X45,AB45)</f>
        <v>13</v>
      </c>
      <c r="I42" s="1669">
        <f>SUM(M45,Q45,U45,Y45,AC45)</f>
        <v>13</v>
      </c>
      <c r="J42" s="2000"/>
      <c r="K42" s="1935"/>
      <c r="L42" s="1935"/>
      <c r="M42" s="1936"/>
      <c r="N42" s="2020"/>
      <c r="O42" s="2022"/>
      <c r="P42" s="1935"/>
      <c r="Q42" s="1936"/>
      <c r="R42" s="2063"/>
      <c r="S42" s="1236"/>
      <c r="T42" s="1237"/>
      <c r="U42" s="1238"/>
      <c r="V42" s="1242">
        <v>1</v>
      </c>
      <c r="W42" s="1245"/>
      <c r="X42" s="1246"/>
      <c r="Y42" s="1247"/>
      <c r="Z42" s="1559">
        <v>2</v>
      </c>
      <c r="AA42" s="1245"/>
      <c r="AB42" s="1246"/>
      <c r="AC42" s="1247"/>
      <c r="AD42" s="57"/>
      <c r="AE42" s="104"/>
      <c r="AF42" s="105"/>
      <c r="AG42" s="105"/>
      <c r="AH42" s="105"/>
      <c r="AI42" s="106"/>
      <c r="AJ42" s="106"/>
      <c r="AK42" s="106"/>
      <c r="AL42" s="106"/>
      <c r="AM42" s="1505"/>
    </row>
    <row r="43" spans="1:40" ht="18" customHeight="1" thickBot="1" x14ac:dyDescent="0.3">
      <c r="A43" s="1917"/>
      <c r="B43" s="1440"/>
      <c r="C43" s="1442"/>
      <c r="D43" s="1409"/>
      <c r="E43" s="1409"/>
      <c r="F43" s="1409"/>
      <c r="G43" s="1438"/>
      <c r="H43" s="1409"/>
      <c r="I43" s="1410"/>
      <c r="J43" s="2001"/>
      <c r="K43" s="1304"/>
      <c r="L43" s="1304"/>
      <c r="M43" s="1305"/>
      <c r="N43" s="1262"/>
      <c r="O43" s="1303"/>
      <c r="P43" s="1304"/>
      <c r="Q43" s="1305"/>
      <c r="R43" s="1766"/>
      <c r="S43" s="1190"/>
      <c r="T43" s="1190"/>
      <c r="U43" s="1389"/>
      <c r="V43" s="1243"/>
      <c r="W43" s="1378"/>
      <c r="X43" s="1378"/>
      <c r="Y43" s="1379"/>
      <c r="Z43" s="1560"/>
      <c r="AA43" s="1378"/>
      <c r="AB43" s="1378"/>
      <c r="AC43" s="1558"/>
      <c r="AD43" s="57"/>
      <c r="AE43" s="107"/>
      <c r="AF43" s="108"/>
      <c r="AG43" s="108"/>
      <c r="AH43" s="108"/>
      <c r="AI43" s="108"/>
      <c r="AJ43" s="108"/>
      <c r="AK43" s="106"/>
      <c r="AL43" s="109"/>
      <c r="AM43" s="1512"/>
    </row>
    <row r="44" spans="1:40" ht="18" customHeight="1" thickBot="1" x14ac:dyDescent="0.3">
      <c r="A44" s="1917"/>
      <c r="B44" s="1440"/>
      <c r="C44" s="1442"/>
      <c r="D44" s="1409"/>
      <c r="E44" s="1409"/>
      <c r="F44" s="1409"/>
      <c r="G44" s="1438"/>
      <c r="H44" s="1409"/>
      <c r="I44" s="1410"/>
      <c r="J44" s="2001"/>
      <c r="K44" s="1659"/>
      <c r="L44" s="1992"/>
      <c r="M44" s="1993"/>
      <c r="N44" s="1262"/>
      <c r="O44" s="1306"/>
      <c r="P44" s="1307"/>
      <c r="Q44" s="1308"/>
      <c r="R44" s="1766"/>
      <c r="S44" s="1239"/>
      <c r="T44" s="1240"/>
      <c r="U44" s="1241"/>
      <c r="V44" s="1243"/>
      <c r="W44" s="1248"/>
      <c r="X44" s="1249"/>
      <c r="Y44" s="1250"/>
      <c r="Z44" s="1560"/>
      <c r="AA44" s="1248"/>
      <c r="AB44" s="1249"/>
      <c r="AC44" s="1250"/>
      <c r="AD44" s="57"/>
      <c r="AE44" s="107"/>
      <c r="AF44" s="108"/>
      <c r="AG44" s="108"/>
      <c r="AH44" s="108"/>
      <c r="AI44" s="108"/>
      <c r="AJ44" s="108"/>
      <c r="AK44" s="106"/>
      <c r="AL44" s="109"/>
      <c r="AM44" s="1512"/>
    </row>
    <row r="45" spans="1:40" ht="18" customHeight="1" thickBot="1" x14ac:dyDescent="0.3">
      <c r="A45" s="1917"/>
      <c r="B45" s="1447"/>
      <c r="C45" s="1448"/>
      <c r="D45" s="1409"/>
      <c r="E45" s="1409"/>
      <c r="F45" s="1409"/>
      <c r="G45" s="1438"/>
      <c r="H45" s="1409"/>
      <c r="I45" s="1410"/>
      <c r="J45" s="2002"/>
      <c r="K45" s="31"/>
      <c r="L45" s="31"/>
      <c r="M45" s="32"/>
      <c r="N45" s="2021"/>
      <c r="O45" s="120"/>
      <c r="P45" s="31"/>
      <c r="Q45" s="32"/>
      <c r="R45" s="2064"/>
      <c r="S45" s="204"/>
      <c r="T45" s="199"/>
      <c r="U45" s="200"/>
      <c r="V45" s="1244"/>
      <c r="W45" s="373">
        <v>7</v>
      </c>
      <c r="X45" s="374">
        <v>7</v>
      </c>
      <c r="Y45" s="375">
        <v>7</v>
      </c>
      <c r="Z45" s="1561"/>
      <c r="AA45" s="373">
        <v>6</v>
      </c>
      <c r="AB45" s="374">
        <v>6</v>
      </c>
      <c r="AC45" s="375">
        <v>6</v>
      </c>
      <c r="AD45" s="57"/>
      <c r="AE45" s="98"/>
      <c r="AF45" s="99"/>
      <c r="AG45" s="99"/>
      <c r="AH45" s="99"/>
      <c r="AI45" s="99"/>
      <c r="AJ45" s="99"/>
      <c r="AK45" s="99"/>
      <c r="AL45" s="99"/>
      <c r="AM45" s="1513"/>
    </row>
    <row r="46" spans="1:40" s="3" customFormat="1" ht="18" customHeight="1" thickBot="1" x14ac:dyDescent="0.3">
      <c r="A46" s="1917"/>
      <c r="B46" s="1439">
        <v>8</v>
      </c>
      <c r="C46" s="1441" t="s">
        <v>71</v>
      </c>
      <c r="D46" s="1409">
        <f>COUNT(K49,O49,S49,W49,AA49)</f>
        <v>3</v>
      </c>
      <c r="E46" s="1409">
        <f>COUNT(L49,P49,T49,X49,AB49)</f>
        <v>3</v>
      </c>
      <c r="F46" s="1409">
        <f>COUNT(M49,Q49,U49,Y49,AC49)</f>
        <v>3</v>
      </c>
      <c r="G46" s="1438">
        <f>SUM(K49,O49,S49,W49,AA49)</f>
        <v>20</v>
      </c>
      <c r="H46" s="1409">
        <f>SUM(L49,P49,T49,X49,AB49)</f>
        <v>20</v>
      </c>
      <c r="I46" s="1410">
        <f>SUM(M49,Q49,U49,Y49,AC49)</f>
        <v>20</v>
      </c>
      <c r="J46" s="1399">
        <v>5</v>
      </c>
      <c r="K46" s="1403"/>
      <c r="L46" s="1404"/>
      <c r="M46" s="1405"/>
      <c r="N46" s="1284">
        <v>6</v>
      </c>
      <c r="O46" s="1288"/>
      <c r="P46" s="1289"/>
      <c r="Q46" s="1290"/>
      <c r="R46" s="1284">
        <v>7</v>
      </c>
      <c r="S46" s="1288"/>
      <c r="T46" s="1289"/>
      <c r="U46" s="1290"/>
      <c r="V46" s="1284">
        <v>8</v>
      </c>
      <c r="W46" s="1288"/>
      <c r="X46" s="1289"/>
      <c r="Y46" s="1290"/>
      <c r="Z46" s="1399">
        <v>9</v>
      </c>
      <c r="AA46" s="1403"/>
      <c r="AB46" s="1404"/>
      <c r="AC46" s="1405"/>
      <c r="AD46" s="56"/>
      <c r="AE46" s="110"/>
      <c r="AF46" s="111"/>
      <c r="AG46" s="111"/>
      <c r="AH46" s="111"/>
      <c r="AI46" s="111"/>
      <c r="AJ46" s="111"/>
      <c r="AK46" s="112"/>
      <c r="AL46" s="112"/>
      <c r="AM46" s="1511"/>
    </row>
    <row r="47" spans="1:40" s="3" customFormat="1" ht="18" customHeight="1" thickBot="1" x14ac:dyDescent="0.3">
      <c r="A47" s="1917"/>
      <c r="B47" s="1440"/>
      <c r="C47" s="1442"/>
      <c r="D47" s="1409"/>
      <c r="E47" s="1409"/>
      <c r="F47" s="1409"/>
      <c r="G47" s="1438"/>
      <c r="H47" s="1409"/>
      <c r="I47" s="1410"/>
      <c r="J47" s="1400"/>
      <c r="K47" s="1406" t="s">
        <v>90</v>
      </c>
      <c r="L47" s="1407"/>
      <c r="M47" s="1408"/>
      <c r="N47" s="1285"/>
      <c r="O47" s="1291"/>
      <c r="P47" s="1292"/>
      <c r="Q47" s="1293"/>
      <c r="R47" s="1285"/>
      <c r="S47" s="1291"/>
      <c r="T47" s="1292"/>
      <c r="U47" s="1293"/>
      <c r="V47" s="1285"/>
      <c r="W47" s="1291"/>
      <c r="X47" s="1292"/>
      <c r="Y47" s="1293"/>
      <c r="Z47" s="1400"/>
      <c r="AA47" s="1406" t="s">
        <v>91</v>
      </c>
      <c r="AB47" s="1407"/>
      <c r="AC47" s="1408"/>
      <c r="AD47" s="57"/>
      <c r="AE47" s="96"/>
      <c r="AF47" s="97"/>
      <c r="AG47" s="97"/>
      <c r="AH47" s="97"/>
      <c r="AI47" s="97"/>
      <c r="AJ47" s="97"/>
      <c r="AK47" s="113"/>
      <c r="AL47" s="97"/>
      <c r="AM47" s="1512"/>
    </row>
    <row r="48" spans="1:40" s="3" customFormat="1" ht="18" customHeight="1" thickBot="1" x14ac:dyDescent="0.3">
      <c r="A48" s="1917"/>
      <c r="B48" s="1440"/>
      <c r="C48" s="1443"/>
      <c r="D48" s="1409"/>
      <c r="E48" s="1409"/>
      <c r="F48" s="1409"/>
      <c r="G48" s="1438"/>
      <c r="H48" s="1409"/>
      <c r="I48" s="1410"/>
      <c r="J48" s="1401"/>
      <c r="K48" s="1396"/>
      <c r="L48" s="1397"/>
      <c r="M48" s="1398"/>
      <c r="N48" s="1286"/>
      <c r="O48" s="1300"/>
      <c r="P48" s="1301"/>
      <c r="Q48" s="1302"/>
      <c r="R48" s="1286"/>
      <c r="S48" s="1300"/>
      <c r="T48" s="1301"/>
      <c r="U48" s="1302"/>
      <c r="V48" s="1286"/>
      <c r="W48" s="1300"/>
      <c r="X48" s="1301"/>
      <c r="Y48" s="1302"/>
      <c r="Z48" s="1401"/>
      <c r="AA48" s="1396"/>
      <c r="AB48" s="1397"/>
      <c r="AC48" s="1398"/>
      <c r="AD48" s="57"/>
      <c r="AE48" s="96"/>
      <c r="AF48" s="97"/>
      <c r="AG48" s="97"/>
      <c r="AH48" s="97"/>
      <c r="AI48" s="97"/>
      <c r="AJ48" s="97"/>
      <c r="AK48" s="106"/>
      <c r="AL48" s="97"/>
      <c r="AM48" s="1512"/>
    </row>
    <row r="49" spans="1:39" s="3" customFormat="1" ht="18" customHeight="1" thickBot="1" x14ac:dyDescent="0.3">
      <c r="A49" s="1917"/>
      <c r="B49" s="1447"/>
      <c r="C49" s="1448"/>
      <c r="D49" s="1409"/>
      <c r="E49" s="1409"/>
      <c r="F49" s="1409"/>
      <c r="G49" s="1438"/>
      <c r="H49" s="1409"/>
      <c r="I49" s="1410"/>
      <c r="J49" s="1557"/>
      <c r="K49" s="239"/>
      <c r="L49" s="239"/>
      <c r="M49" s="240"/>
      <c r="N49" s="1287"/>
      <c r="O49" s="199">
        <v>7</v>
      </c>
      <c r="P49" s="199">
        <v>7</v>
      </c>
      <c r="Q49" s="200">
        <v>7</v>
      </c>
      <c r="R49" s="1287"/>
      <c r="S49" s="31">
        <v>6</v>
      </c>
      <c r="T49" s="31">
        <v>6</v>
      </c>
      <c r="U49" s="32">
        <v>6</v>
      </c>
      <c r="V49" s="1287"/>
      <c r="W49" s="376">
        <v>7</v>
      </c>
      <c r="X49" s="376">
        <v>7</v>
      </c>
      <c r="Y49" s="377">
        <v>7</v>
      </c>
      <c r="Z49" s="1402"/>
      <c r="AA49" s="378"/>
      <c r="AB49" s="378"/>
      <c r="AC49" s="379"/>
      <c r="AD49" s="57"/>
      <c r="AE49" s="98"/>
      <c r="AF49" s="99"/>
      <c r="AG49" s="99"/>
      <c r="AH49" s="99"/>
      <c r="AI49" s="99"/>
      <c r="AJ49" s="99"/>
      <c r="AK49" s="99"/>
      <c r="AL49" s="99"/>
      <c r="AM49" s="1513"/>
    </row>
    <row r="50" spans="1:39" ht="18" customHeight="1" thickBot="1" x14ac:dyDescent="0.3">
      <c r="A50" s="1917"/>
      <c r="B50" s="1439">
        <v>9</v>
      </c>
      <c r="C50" s="1441" t="s">
        <v>92</v>
      </c>
      <c r="D50" s="1409">
        <f>COUNT(K53,O53,S53,W53,AA53)</f>
        <v>5</v>
      </c>
      <c r="E50" s="1409">
        <f>COUNT(L53,P53,T53,X53,AB53)</f>
        <v>5</v>
      </c>
      <c r="F50" s="1409">
        <f>COUNT(M53,Q53,U53,Y53,AC53)</f>
        <v>5</v>
      </c>
      <c r="G50" s="1438">
        <f>SUM(K53,O53,S53,W53,AA53)</f>
        <v>14</v>
      </c>
      <c r="H50" s="1409">
        <f>SUM(L53,P53,T53,X53,AB53)</f>
        <v>14</v>
      </c>
      <c r="I50" s="1410">
        <f>SUM(M53,Q53,U53,Y53,AC53)</f>
        <v>18</v>
      </c>
      <c r="J50" s="2012">
        <v>12</v>
      </c>
      <c r="K50" s="2065"/>
      <c r="L50" s="2066"/>
      <c r="M50" s="2067"/>
      <c r="N50" s="588">
        <v>13</v>
      </c>
      <c r="O50" s="357"/>
      <c r="P50" s="358"/>
      <c r="Q50" s="359"/>
      <c r="R50" s="1268">
        <v>14</v>
      </c>
      <c r="S50" s="1562"/>
      <c r="T50" s="1563"/>
      <c r="U50" s="1564"/>
      <c r="V50" s="1268">
        <v>15</v>
      </c>
      <c r="W50" s="1562"/>
      <c r="X50" s="1563"/>
      <c r="Y50" s="1564"/>
      <c r="Z50" s="1323">
        <v>16</v>
      </c>
      <c r="AA50" s="1562"/>
      <c r="AB50" s="1563"/>
      <c r="AC50" s="1564"/>
      <c r="AD50" s="56"/>
      <c r="AE50" s="110"/>
      <c r="AF50" s="111"/>
      <c r="AG50" s="111"/>
      <c r="AH50" s="111"/>
      <c r="AI50" s="111"/>
      <c r="AJ50" s="111"/>
      <c r="AK50" s="112"/>
      <c r="AL50" s="112"/>
      <c r="AM50" s="1538" t="s">
        <v>137</v>
      </c>
    </row>
    <row r="51" spans="1:39" ht="18" customHeight="1" thickBot="1" x14ac:dyDescent="0.3">
      <c r="A51" s="1917"/>
      <c r="B51" s="1440"/>
      <c r="C51" s="1442"/>
      <c r="D51" s="1409"/>
      <c r="E51" s="1409"/>
      <c r="F51" s="1409"/>
      <c r="G51" s="1438"/>
      <c r="H51" s="1409"/>
      <c r="I51" s="1410"/>
      <c r="J51" s="2013"/>
      <c r="K51" s="2068"/>
      <c r="L51" s="2069"/>
      <c r="M51" s="2070"/>
      <c r="N51" s="589"/>
      <c r="O51" s="1989" t="s">
        <v>26</v>
      </c>
      <c r="P51" s="1990"/>
      <c r="Q51" s="1991"/>
      <c r="R51" s="1269"/>
      <c r="S51" s="474" t="s">
        <v>26</v>
      </c>
      <c r="T51" s="474"/>
      <c r="U51" s="475"/>
      <c r="V51" s="1269"/>
      <c r="W51" s="474" t="s">
        <v>26</v>
      </c>
      <c r="X51" s="474"/>
      <c r="Y51" s="494"/>
      <c r="Z51" s="1324"/>
      <c r="AA51" s="474" t="s">
        <v>26</v>
      </c>
      <c r="AB51" s="474"/>
      <c r="AC51" s="475"/>
      <c r="AD51" s="57"/>
      <c r="AE51" s="96"/>
      <c r="AF51" s="97"/>
      <c r="AG51" s="97"/>
      <c r="AH51" s="97"/>
      <c r="AI51" s="97"/>
      <c r="AJ51" s="97"/>
      <c r="AK51" s="113"/>
      <c r="AL51" s="97"/>
      <c r="AM51" s="1539"/>
    </row>
    <row r="52" spans="1:39" ht="18" customHeight="1" thickBot="1" x14ac:dyDescent="0.3">
      <c r="A52" s="1917"/>
      <c r="B52" s="1440"/>
      <c r="C52" s="1443"/>
      <c r="D52" s="1409"/>
      <c r="E52" s="1409"/>
      <c r="F52" s="1409"/>
      <c r="G52" s="1438"/>
      <c r="H52" s="1409"/>
      <c r="I52" s="1410"/>
      <c r="J52" s="2013"/>
      <c r="K52" s="2071"/>
      <c r="L52" s="2072"/>
      <c r="M52" s="2073"/>
      <c r="N52" s="589"/>
      <c r="O52" s="354"/>
      <c r="P52" s="355"/>
      <c r="Q52" s="356"/>
      <c r="R52" s="1269"/>
      <c r="S52" s="1550"/>
      <c r="T52" s="1551"/>
      <c r="U52" s="1552"/>
      <c r="V52" s="1269"/>
      <c r="W52" s="1550"/>
      <c r="X52" s="1551"/>
      <c r="Y52" s="1552"/>
      <c r="Z52" s="1272"/>
      <c r="AA52" s="1550"/>
      <c r="AB52" s="1551"/>
      <c r="AC52" s="1552"/>
      <c r="AD52" s="57"/>
      <c r="AE52" s="96"/>
      <c r="AF52" s="97"/>
      <c r="AG52" s="97"/>
      <c r="AH52" s="97"/>
      <c r="AI52" s="97"/>
      <c r="AJ52" s="97"/>
      <c r="AK52" s="106"/>
      <c r="AL52" s="97"/>
      <c r="AM52" s="1539"/>
    </row>
    <row r="53" spans="1:39" ht="18" customHeight="1" thickBot="1" x14ac:dyDescent="0.3">
      <c r="A53" s="1917"/>
      <c r="B53" s="1447"/>
      <c r="C53" s="1448"/>
      <c r="D53" s="1409"/>
      <c r="E53" s="1409"/>
      <c r="F53" s="1409"/>
      <c r="G53" s="1438"/>
      <c r="H53" s="1409"/>
      <c r="I53" s="1410"/>
      <c r="J53" s="2014"/>
      <c r="K53" s="2074">
        <v>6</v>
      </c>
      <c r="L53" s="2075">
        <v>6</v>
      </c>
      <c r="M53" s="2076">
        <v>6</v>
      </c>
      <c r="N53" s="635"/>
      <c r="O53" s="351">
        <v>2</v>
      </c>
      <c r="P53" s="352">
        <v>2</v>
      </c>
      <c r="Q53" s="353">
        <v>3</v>
      </c>
      <c r="R53" s="1270"/>
      <c r="S53" s="351">
        <v>2</v>
      </c>
      <c r="T53" s="352">
        <v>2</v>
      </c>
      <c r="U53" s="353">
        <v>3</v>
      </c>
      <c r="V53" s="1270"/>
      <c r="W53" s="380">
        <v>2</v>
      </c>
      <c r="X53" s="352">
        <v>2</v>
      </c>
      <c r="Y53" s="353">
        <v>3</v>
      </c>
      <c r="Z53" s="1325"/>
      <c r="AA53" s="351">
        <v>2</v>
      </c>
      <c r="AB53" s="352">
        <v>2</v>
      </c>
      <c r="AC53" s="353">
        <v>3</v>
      </c>
      <c r="AD53" s="57"/>
      <c r="AE53" s="98"/>
      <c r="AF53" s="99"/>
      <c r="AG53" s="99"/>
      <c r="AH53" s="99"/>
      <c r="AI53" s="99"/>
      <c r="AJ53" s="99"/>
      <c r="AK53" s="99"/>
      <c r="AL53" s="99"/>
      <c r="AM53" s="1540"/>
    </row>
    <row r="54" spans="1:39" ht="18" customHeight="1" thickBot="1" x14ac:dyDescent="0.3">
      <c r="A54" s="1917"/>
      <c r="B54" s="1439">
        <v>10</v>
      </c>
      <c r="C54" s="1441" t="s">
        <v>93</v>
      </c>
      <c r="D54" s="1409">
        <f>COUNT(K57,O57,S53,W57,AA57)</f>
        <v>5</v>
      </c>
      <c r="E54" s="1409">
        <f>COUNT(L57,P57,T53,X57,AB57)</f>
        <v>5</v>
      </c>
      <c r="F54" s="1409">
        <f>COUNT(M57,Q57,U53,Y57,AC57)</f>
        <v>5</v>
      </c>
      <c r="G54" s="1438">
        <f>K57+O57+S57+W57+AA57</f>
        <v>32</v>
      </c>
      <c r="H54" s="1409">
        <f>L57+P57+T57+X57+AB57</f>
        <v>32</v>
      </c>
      <c r="I54" s="1410">
        <f>M57+Q57+U57+Y57+AC57</f>
        <v>32</v>
      </c>
      <c r="J54" s="588">
        <v>19</v>
      </c>
      <c r="K54" s="2015"/>
      <c r="L54" s="2016"/>
      <c r="M54" s="2017"/>
      <c r="N54" s="589">
        <v>20</v>
      </c>
      <c r="O54" s="1281" t="s">
        <v>1</v>
      </c>
      <c r="P54" s="1282"/>
      <c r="Q54" s="1283"/>
      <c r="R54" s="1309">
        <v>21</v>
      </c>
      <c r="S54" s="1294"/>
      <c r="T54" s="1295"/>
      <c r="U54" s="1296"/>
      <c r="V54" s="1268">
        <v>22</v>
      </c>
      <c r="W54" s="1294"/>
      <c r="X54" s="1295"/>
      <c r="Y54" s="1296"/>
      <c r="Z54" s="1323">
        <v>23</v>
      </c>
      <c r="AA54" s="1394"/>
      <c r="AB54" s="1394"/>
      <c r="AC54" s="1395"/>
      <c r="AD54" s="57"/>
      <c r="AE54" s="104"/>
      <c r="AF54" s="105"/>
      <c r="AG54" s="105"/>
      <c r="AH54" s="105"/>
      <c r="AI54" s="105"/>
      <c r="AJ54" s="105"/>
      <c r="AK54" s="106"/>
      <c r="AL54" s="106"/>
      <c r="AM54" s="1565" t="s">
        <v>129</v>
      </c>
    </row>
    <row r="55" spans="1:39" ht="18" customHeight="1" thickBot="1" x14ac:dyDescent="0.3">
      <c r="A55" s="1917"/>
      <c r="B55" s="1440"/>
      <c r="C55" s="1442"/>
      <c r="D55" s="1409"/>
      <c r="E55" s="1409"/>
      <c r="F55" s="1409"/>
      <c r="G55" s="1438"/>
      <c r="H55" s="1409"/>
      <c r="I55" s="1410"/>
      <c r="J55" s="589"/>
      <c r="K55" s="1746"/>
      <c r="L55" s="1747"/>
      <c r="M55" s="1748"/>
      <c r="N55" s="589"/>
      <c r="O55" s="1980" t="s">
        <v>1</v>
      </c>
      <c r="P55" s="1981"/>
      <c r="Q55" s="1982"/>
      <c r="R55" s="1269"/>
      <c r="S55" s="1297"/>
      <c r="T55" s="1298"/>
      <c r="U55" s="1299"/>
      <c r="V55" s="1269"/>
      <c r="W55" s="1297"/>
      <c r="X55" s="1298"/>
      <c r="Y55" s="1299"/>
      <c r="Z55" s="1324"/>
      <c r="AA55" s="1390"/>
      <c r="AB55" s="1390"/>
      <c r="AC55" s="1391"/>
      <c r="AD55" s="57"/>
      <c r="AE55" s="96"/>
      <c r="AF55" s="97"/>
      <c r="AG55" s="97"/>
      <c r="AH55" s="97"/>
      <c r="AI55" s="97"/>
      <c r="AJ55" s="97"/>
      <c r="AK55" s="106"/>
      <c r="AL55" s="113"/>
      <c r="AM55" s="1566"/>
    </row>
    <row r="56" spans="1:39" ht="18" customHeight="1" thickBot="1" x14ac:dyDescent="0.3">
      <c r="A56" s="1917"/>
      <c r="B56" s="1440"/>
      <c r="C56" s="1443"/>
      <c r="D56" s="1409"/>
      <c r="E56" s="1409"/>
      <c r="F56" s="1409"/>
      <c r="G56" s="1438"/>
      <c r="H56" s="1409"/>
      <c r="I56" s="1410"/>
      <c r="J56" s="589"/>
      <c r="K56" s="2023"/>
      <c r="L56" s="1471"/>
      <c r="M56" s="1472"/>
      <c r="N56" s="589"/>
      <c r="O56" s="1980" t="s">
        <v>1</v>
      </c>
      <c r="P56" s="1981"/>
      <c r="Q56" s="1982"/>
      <c r="R56" s="1269"/>
      <c r="S56" s="1297"/>
      <c r="T56" s="1298"/>
      <c r="U56" s="1299"/>
      <c r="V56" s="1269"/>
      <c r="W56" s="1297"/>
      <c r="X56" s="1298"/>
      <c r="Y56" s="1299"/>
      <c r="Z56" s="1272"/>
      <c r="AA56" s="1392"/>
      <c r="AB56" s="1392"/>
      <c r="AC56" s="1393"/>
      <c r="AD56" s="57"/>
      <c r="AE56" s="96"/>
      <c r="AF56" s="97"/>
      <c r="AG56" s="97"/>
      <c r="AH56" s="97"/>
      <c r="AI56" s="97"/>
      <c r="AJ56" s="97"/>
      <c r="AK56" s="106"/>
      <c r="AL56" s="113"/>
      <c r="AM56" s="1566"/>
    </row>
    <row r="57" spans="1:39" ht="18" customHeight="1" thickBot="1" x14ac:dyDescent="0.3">
      <c r="A57" s="1917"/>
      <c r="B57" s="1440"/>
      <c r="C57" s="1443"/>
      <c r="D57" s="933"/>
      <c r="E57" s="933"/>
      <c r="F57" s="933"/>
      <c r="G57" s="1444"/>
      <c r="H57" s="933"/>
      <c r="I57" s="1411"/>
      <c r="J57" s="635"/>
      <c r="K57" s="204">
        <v>6</v>
      </c>
      <c r="L57" s="199">
        <v>6</v>
      </c>
      <c r="M57" s="200">
        <v>6</v>
      </c>
      <c r="N57" s="635"/>
      <c r="O57" s="204">
        <v>7</v>
      </c>
      <c r="P57" s="199">
        <v>7</v>
      </c>
      <c r="Q57" s="200">
        <v>7</v>
      </c>
      <c r="R57" s="1270"/>
      <c r="S57" s="124">
        <v>6</v>
      </c>
      <c r="T57" s="74">
        <v>6</v>
      </c>
      <c r="U57" s="75">
        <v>6</v>
      </c>
      <c r="V57" s="1270"/>
      <c r="W57" s="124">
        <v>7</v>
      </c>
      <c r="X57" s="74">
        <v>7</v>
      </c>
      <c r="Y57" s="75">
        <v>7</v>
      </c>
      <c r="Z57" s="1325"/>
      <c r="AA57" s="123">
        <v>6</v>
      </c>
      <c r="AB57" s="35">
        <v>6</v>
      </c>
      <c r="AC57" s="61">
        <v>6</v>
      </c>
      <c r="AD57" s="60"/>
      <c r="AE57" s="100"/>
      <c r="AF57" s="101"/>
      <c r="AG57" s="101"/>
      <c r="AH57" s="101"/>
      <c r="AI57" s="101"/>
      <c r="AJ57" s="101"/>
      <c r="AK57" s="101"/>
      <c r="AL57" s="114"/>
      <c r="AM57" s="1566"/>
    </row>
    <row r="58" spans="1:39" ht="18" customHeight="1" thickBot="1" x14ac:dyDescent="0.3">
      <c r="A58" s="1917"/>
      <c r="B58" s="1439">
        <v>11</v>
      </c>
      <c r="C58" s="1441" t="s">
        <v>94</v>
      </c>
      <c r="D58" s="1409">
        <f>COUNT(K61,O61,S57,W61,AA61)</f>
        <v>5</v>
      </c>
      <c r="E58" s="1409">
        <f>COUNT(L61,P61,T57,X61,AB61)</f>
        <v>5</v>
      </c>
      <c r="F58" s="1409">
        <f>COUNT(M61,Q61,U57,Y61,AC61)</f>
        <v>5</v>
      </c>
      <c r="G58" s="1438">
        <f>K61+O61+S61+W61+AA61</f>
        <v>30</v>
      </c>
      <c r="H58" s="1409">
        <f>L61+P61+T61+X61+AB61</f>
        <v>30</v>
      </c>
      <c r="I58" s="1410">
        <f>M61+Q61+U61+Y61+AC61</f>
        <v>30</v>
      </c>
      <c r="J58" s="2005">
        <v>26</v>
      </c>
      <c r="K58" s="1768"/>
      <c r="L58" s="1769"/>
      <c r="M58" s="1770"/>
      <c r="N58" s="1765">
        <v>27</v>
      </c>
      <c r="O58" s="2033" t="s">
        <v>95</v>
      </c>
      <c r="P58" s="2034"/>
      <c r="Q58" s="2035"/>
      <c r="R58" s="1994">
        <v>28</v>
      </c>
      <c r="S58" s="1911"/>
      <c r="T58" s="1912"/>
      <c r="U58" s="1913"/>
      <c r="V58" s="1914">
        <v>29</v>
      </c>
      <c r="W58" s="1376"/>
      <c r="X58" s="1376"/>
      <c r="Y58" s="2062"/>
      <c r="Z58" s="1536">
        <v>30</v>
      </c>
      <c r="AA58" s="1376"/>
      <c r="AB58" s="1376"/>
      <c r="AC58" s="1377"/>
      <c r="AD58" s="63"/>
      <c r="AE58" s="110"/>
      <c r="AF58" s="111"/>
      <c r="AG58" s="111"/>
      <c r="AH58" s="111"/>
      <c r="AI58" s="111"/>
      <c r="AJ58" s="111"/>
      <c r="AK58" s="112"/>
      <c r="AL58" s="112"/>
      <c r="AM58" s="1603"/>
    </row>
    <row r="59" spans="1:39" ht="18" customHeight="1" thickBot="1" x14ac:dyDescent="0.3">
      <c r="A59" s="1917"/>
      <c r="B59" s="1440"/>
      <c r="C59" s="1442"/>
      <c r="D59" s="1409"/>
      <c r="E59" s="1409"/>
      <c r="F59" s="1409"/>
      <c r="G59" s="1438"/>
      <c r="H59" s="1409"/>
      <c r="I59" s="1410"/>
      <c r="J59" s="1697"/>
      <c r="K59" s="1774"/>
      <c r="L59" s="1775"/>
      <c r="M59" s="1776"/>
      <c r="N59" s="1766"/>
      <c r="O59" s="2036"/>
      <c r="P59" s="2037"/>
      <c r="Q59" s="2038"/>
      <c r="R59" s="1995"/>
      <c r="S59" s="1351"/>
      <c r="T59" s="1259"/>
      <c r="U59" s="1260"/>
      <c r="V59" s="1905"/>
      <c r="W59" s="1298"/>
      <c r="X59" s="1298"/>
      <c r="Y59" s="1299"/>
      <c r="Z59" s="1334"/>
      <c r="AA59" s="1514"/>
      <c r="AB59" s="1515"/>
      <c r="AC59" s="1516"/>
      <c r="AD59" s="57"/>
      <c r="AE59" s="96"/>
      <c r="AF59" s="97"/>
      <c r="AG59" s="97"/>
      <c r="AH59" s="97"/>
      <c r="AI59" s="97"/>
      <c r="AJ59" s="97"/>
      <c r="AK59" s="113"/>
      <c r="AL59" s="113"/>
      <c r="AM59" s="1566"/>
    </row>
    <row r="60" spans="1:39" ht="18" customHeight="1" thickBot="1" x14ac:dyDescent="0.3">
      <c r="A60" s="1917"/>
      <c r="B60" s="1440"/>
      <c r="C60" s="1442"/>
      <c r="D60" s="1409"/>
      <c r="E60" s="1409"/>
      <c r="F60" s="1409"/>
      <c r="G60" s="1438"/>
      <c r="H60" s="1409"/>
      <c r="I60" s="1410"/>
      <c r="J60" s="1697"/>
      <c r="K60" s="1771"/>
      <c r="L60" s="1772"/>
      <c r="M60" s="1773"/>
      <c r="N60" s="1766"/>
      <c r="O60" s="2039"/>
      <c r="P60" s="2040"/>
      <c r="Q60" s="2041"/>
      <c r="R60" s="1995"/>
      <c r="S60" s="1351"/>
      <c r="T60" s="1259"/>
      <c r="U60" s="1260"/>
      <c r="V60" s="1905"/>
      <c r="W60" s="127"/>
      <c r="X60" s="128"/>
      <c r="Y60" s="129"/>
      <c r="Z60" s="1334"/>
      <c r="AA60" s="1298"/>
      <c r="AB60" s="1298"/>
      <c r="AC60" s="1299"/>
      <c r="AD60" s="57"/>
      <c r="AE60" s="96"/>
      <c r="AF60" s="97"/>
      <c r="AG60" s="97"/>
      <c r="AH60" s="97"/>
      <c r="AI60" s="97"/>
      <c r="AJ60" s="97"/>
      <c r="AK60" s="106"/>
      <c r="AL60" s="113"/>
      <c r="AM60" s="1566"/>
    </row>
    <row r="61" spans="1:39" ht="18" customHeight="1" thickBot="1" x14ac:dyDescent="0.3">
      <c r="A61" s="1918"/>
      <c r="B61" s="1761"/>
      <c r="C61" s="1762"/>
      <c r="D61" s="1668"/>
      <c r="E61" s="1668"/>
      <c r="F61" s="1668"/>
      <c r="G61" s="1760"/>
      <c r="H61" s="1777"/>
      <c r="I61" s="1778"/>
      <c r="J61" s="2006"/>
      <c r="K61" s="140">
        <v>6</v>
      </c>
      <c r="L61" s="140">
        <v>6</v>
      </c>
      <c r="M61" s="141">
        <v>6</v>
      </c>
      <c r="N61" s="1767"/>
      <c r="O61" s="142">
        <v>5</v>
      </c>
      <c r="P61" s="140">
        <v>5</v>
      </c>
      <c r="Q61" s="143">
        <v>5</v>
      </c>
      <c r="R61" s="1996"/>
      <c r="S61" s="122">
        <v>6</v>
      </c>
      <c r="T61" s="64">
        <v>6</v>
      </c>
      <c r="U61" s="66">
        <v>6</v>
      </c>
      <c r="V61" s="1915"/>
      <c r="W61" s="87">
        <v>7</v>
      </c>
      <c r="X61" s="88">
        <v>7</v>
      </c>
      <c r="Y61" s="89">
        <v>7</v>
      </c>
      <c r="Z61" s="1537"/>
      <c r="AA61" s="64">
        <v>6</v>
      </c>
      <c r="AB61" s="64">
        <v>6</v>
      </c>
      <c r="AC61" s="65">
        <v>6</v>
      </c>
      <c r="AD61" s="67"/>
      <c r="AE61" s="115"/>
      <c r="AF61" s="116"/>
      <c r="AG61" s="116"/>
      <c r="AH61" s="116"/>
      <c r="AI61" s="116"/>
      <c r="AJ61" s="116"/>
      <c r="AK61" s="116"/>
      <c r="AL61" s="117"/>
      <c r="AM61" s="1604"/>
    </row>
    <row r="62" spans="1:39" ht="18" customHeight="1" thickBot="1" x14ac:dyDescent="0.3">
      <c r="A62" s="1868">
        <v>11</v>
      </c>
      <c r="B62" s="1779">
        <v>12</v>
      </c>
      <c r="C62" s="1763" t="s">
        <v>70</v>
      </c>
      <c r="D62" s="1409">
        <f>COUNT(K65,O65,S61,W65,AA65)</f>
        <v>5</v>
      </c>
      <c r="E62" s="1409">
        <f>COUNT(L65,P65,T61,X65,AB65)</f>
        <v>5</v>
      </c>
      <c r="F62" s="1409">
        <f>COUNT(M65,Q65,U61,Y65,AC65)</f>
        <v>5</v>
      </c>
      <c r="G62" s="1666">
        <f>SUM(K65,O65,S65,W65,AA65)</f>
        <v>32</v>
      </c>
      <c r="H62" s="935">
        <f>SUM(L65,P65,T65,X65,AB65)</f>
        <v>32</v>
      </c>
      <c r="I62" s="1669">
        <f>SUM(M65,Q65,U65,Y65,AC65)</f>
        <v>32</v>
      </c>
      <c r="J62" s="1696">
        <v>2</v>
      </c>
      <c r="K62" s="1795"/>
      <c r="L62" s="1795"/>
      <c r="M62" s="1801"/>
      <c r="N62" s="1341">
        <v>3</v>
      </c>
      <c r="O62" s="2027"/>
      <c r="P62" s="2028"/>
      <c r="Q62" s="2029"/>
      <c r="R62" s="1309">
        <v>4</v>
      </c>
      <c r="S62" s="1943"/>
      <c r="T62" s="1795"/>
      <c r="U62" s="1796"/>
      <c r="V62" s="1798">
        <v>5</v>
      </c>
      <c r="W62" s="1266"/>
      <c r="X62" s="1266"/>
      <c r="Y62" s="1267"/>
      <c r="Z62" s="1333">
        <v>6</v>
      </c>
      <c r="AA62" s="1590"/>
      <c r="AB62" s="1591"/>
      <c r="AC62" s="1592"/>
      <c r="AD62" s="57"/>
      <c r="AE62" s="104"/>
      <c r="AF62" s="105"/>
      <c r="AG62" s="105"/>
      <c r="AH62" s="105"/>
      <c r="AI62" s="105"/>
      <c r="AJ62" s="105"/>
      <c r="AK62" s="106"/>
      <c r="AL62" s="106"/>
      <c r="AM62" s="1602"/>
    </row>
    <row r="63" spans="1:39" ht="18" customHeight="1" thickBot="1" x14ac:dyDescent="0.3">
      <c r="A63" s="1868"/>
      <c r="B63" s="1779"/>
      <c r="C63" s="1462"/>
      <c r="D63" s="1409"/>
      <c r="E63" s="1409"/>
      <c r="F63" s="1409"/>
      <c r="G63" s="1438"/>
      <c r="H63" s="1409"/>
      <c r="I63" s="1410"/>
      <c r="J63" s="1697"/>
      <c r="K63" s="867"/>
      <c r="L63" s="867"/>
      <c r="M63" s="868"/>
      <c r="N63" s="1328"/>
      <c r="O63" s="1251"/>
      <c r="P63" s="1252"/>
      <c r="Q63" s="1253"/>
      <c r="R63" s="1269"/>
      <c r="S63" s="1351"/>
      <c r="T63" s="1259"/>
      <c r="U63" s="1260"/>
      <c r="V63" s="1324"/>
      <c r="W63" s="1264"/>
      <c r="X63" s="1264"/>
      <c r="Y63" s="1265"/>
      <c r="Z63" s="1334"/>
      <c r="AA63" s="1576"/>
      <c r="AB63" s="1577"/>
      <c r="AC63" s="1578"/>
      <c r="AD63" s="57"/>
      <c r="AE63" s="96"/>
      <c r="AF63" s="97"/>
      <c r="AG63" s="97"/>
      <c r="AH63" s="97"/>
      <c r="AI63" s="97"/>
      <c r="AJ63" s="97"/>
      <c r="AK63" s="106"/>
      <c r="AL63" s="113"/>
      <c r="AM63" s="1603"/>
    </row>
    <row r="64" spans="1:39" ht="18" customHeight="1" x14ac:dyDescent="0.25">
      <c r="A64" s="1868"/>
      <c r="B64" s="1779"/>
      <c r="C64" s="1463"/>
      <c r="D64" s="1409"/>
      <c r="E64" s="1409"/>
      <c r="F64" s="1409"/>
      <c r="G64" s="1438"/>
      <c r="H64" s="1409"/>
      <c r="I64" s="1410"/>
      <c r="J64" s="1697"/>
      <c r="K64" s="1259"/>
      <c r="L64" s="1259"/>
      <c r="M64" s="2011"/>
      <c r="N64" s="1328"/>
      <c r="O64" s="1254"/>
      <c r="P64" s="1255"/>
      <c r="Q64" s="1256"/>
      <c r="R64" s="1269"/>
      <c r="S64" s="1351"/>
      <c r="T64" s="1259"/>
      <c r="U64" s="1260"/>
      <c r="V64" s="1272"/>
      <c r="W64" s="1264"/>
      <c r="X64" s="1264"/>
      <c r="Y64" s="1265"/>
      <c r="Z64" s="1334"/>
      <c r="AA64" s="1576"/>
      <c r="AB64" s="1577"/>
      <c r="AC64" s="1578"/>
      <c r="AD64" s="57"/>
      <c r="AE64" s="96"/>
      <c r="AF64" s="97"/>
      <c r="AG64" s="97"/>
      <c r="AH64" s="97"/>
      <c r="AI64" s="97"/>
      <c r="AJ64" s="97"/>
      <c r="AK64" s="106"/>
      <c r="AL64" s="113"/>
      <c r="AM64" s="1603"/>
    </row>
    <row r="65" spans="1:39" ht="18" customHeight="1" thickBot="1" x14ac:dyDescent="0.3">
      <c r="A65" s="1868"/>
      <c r="B65" s="1916"/>
      <c r="C65" s="1764"/>
      <c r="D65" s="1409"/>
      <c r="E65" s="1409"/>
      <c r="F65" s="1409"/>
      <c r="G65" s="1438"/>
      <c r="H65" s="1409"/>
      <c r="I65" s="1410"/>
      <c r="J65" s="1716"/>
      <c r="K65" s="27">
        <v>6</v>
      </c>
      <c r="L65" s="27">
        <v>6</v>
      </c>
      <c r="M65" s="28">
        <v>6</v>
      </c>
      <c r="N65" s="1329"/>
      <c r="O65" s="76">
        <v>7</v>
      </c>
      <c r="P65" s="76">
        <v>7</v>
      </c>
      <c r="Q65" s="77">
        <v>7</v>
      </c>
      <c r="R65" s="1270"/>
      <c r="S65" s="121">
        <v>6</v>
      </c>
      <c r="T65" s="27">
        <v>6</v>
      </c>
      <c r="U65" s="29">
        <v>6</v>
      </c>
      <c r="V65" s="1325"/>
      <c r="W65" s="123">
        <v>7</v>
      </c>
      <c r="X65" s="35">
        <v>7</v>
      </c>
      <c r="Y65" s="61">
        <v>7</v>
      </c>
      <c r="Z65" s="1335"/>
      <c r="AA65" s="27">
        <v>6</v>
      </c>
      <c r="AB65" s="27">
        <v>6</v>
      </c>
      <c r="AC65" s="28">
        <v>6</v>
      </c>
      <c r="AD65" s="69"/>
      <c r="AE65" s="98"/>
      <c r="AF65" s="99"/>
      <c r="AG65" s="99"/>
      <c r="AH65" s="99"/>
      <c r="AI65" s="99"/>
      <c r="AJ65" s="99"/>
      <c r="AK65" s="99"/>
      <c r="AL65" s="118"/>
      <c r="AM65" s="1603"/>
    </row>
    <row r="66" spans="1:39" ht="18" customHeight="1" thickBot="1" x14ac:dyDescent="0.3">
      <c r="A66" s="1868"/>
      <c r="B66" s="1784">
        <v>13</v>
      </c>
      <c r="C66" s="1441" t="s">
        <v>60</v>
      </c>
      <c r="D66" s="1409">
        <f>COUNT(K69,O69,S69,W69,AA69)</f>
        <v>5</v>
      </c>
      <c r="E66" s="1409">
        <f>COUNT(L69,P69,T69,X69,AB69)</f>
        <v>5</v>
      </c>
      <c r="F66" s="1409">
        <f>COUNT(M69,Q69,U69,Y69,AC69)</f>
        <v>5</v>
      </c>
      <c r="G66" s="1438">
        <f>SUM(K69,O69,S69,W69,AA69)</f>
        <v>32</v>
      </c>
      <c r="H66" s="1409">
        <f>SUM(L69,P69,T69,X69,AB69)</f>
        <v>32</v>
      </c>
      <c r="I66" s="1410">
        <f>SUM(M69,Q69,U69,Y69,AC69)</f>
        <v>32</v>
      </c>
      <c r="J66" s="1696">
        <v>9</v>
      </c>
      <c r="K66" s="1768"/>
      <c r="L66" s="1769"/>
      <c r="M66" s="1770"/>
      <c r="N66" s="1699">
        <v>10</v>
      </c>
      <c r="O66" s="1795"/>
      <c r="P66" s="1795"/>
      <c r="Q66" s="1796"/>
      <c r="R66" s="1268">
        <v>11</v>
      </c>
      <c r="S66" s="2051"/>
      <c r="T66" s="2052"/>
      <c r="U66" s="2053"/>
      <c r="V66" s="1326">
        <v>12</v>
      </c>
      <c r="W66" s="1352"/>
      <c r="X66" s="1353"/>
      <c r="Y66" s="1354"/>
      <c r="Z66" s="1907">
        <v>13</v>
      </c>
      <c r="AA66" s="1295"/>
      <c r="AB66" s="1295"/>
      <c r="AC66" s="1910"/>
      <c r="AD66" s="56"/>
      <c r="AE66" s="93"/>
      <c r="AF66" s="94"/>
      <c r="AG66" s="94"/>
      <c r="AH66" s="94"/>
      <c r="AI66" s="94"/>
      <c r="AJ66" s="94"/>
      <c r="AK66" s="135"/>
      <c r="AL66" s="95"/>
      <c r="AM66" s="1595" t="s">
        <v>116</v>
      </c>
    </row>
    <row r="67" spans="1:39" ht="18" customHeight="1" thickBot="1" x14ac:dyDescent="0.3">
      <c r="A67" s="1868"/>
      <c r="B67" s="1779"/>
      <c r="C67" s="1442"/>
      <c r="D67" s="1409"/>
      <c r="E67" s="1409"/>
      <c r="F67" s="1409"/>
      <c r="G67" s="1438"/>
      <c r="H67" s="1409"/>
      <c r="I67" s="1410"/>
      <c r="J67" s="1903"/>
      <c r="K67" s="1252"/>
      <c r="L67" s="1252"/>
      <c r="M67" s="1253"/>
      <c r="N67" s="1905"/>
      <c r="O67" s="1797"/>
      <c r="P67" s="1259"/>
      <c r="Q67" s="1260"/>
      <c r="R67" s="1269"/>
      <c r="S67" s="1797"/>
      <c r="T67" s="1259"/>
      <c r="U67" s="1260"/>
      <c r="V67" s="1327"/>
      <c r="W67" s="1355"/>
      <c r="X67" s="1356"/>
      <c r="Y67" s="1357"/>
      <c r="Z67" s="1908"/>
      <c r="AA67" s="1901"/>
      <c r="AB67" s="1901"/>
      <c r="AC67" s="1902"/>
      <c r="AD67" s="57"/>
      <c r="AE67" s="96"/>
      <c r="AF67" s="97"/>
      <c r="AG67" s="97"/>
      <c r="AH67" s="97"/>
      <c r="AI67" s="97"/>
      <c r="AJ67" s="97"/>
      <c r="AK67" s="135"/>
      <c r="AL67" s="97"/>
      <c r="AM67" s="1502"/>
    </row>
    <row r="68" spans="1:39" ht="18" customHeight="1" thickBot="1" x14ac:dyDescent="0.3">
      <c r="A68" s="1868"/>
      <c r="B68" s="1779"/>
      <c r="C68" s="1442"/>
      <c r="D68" s="1409"/>
      <c r="E68" s="1409"/>
      <c r="F68" s="1409"/>
      <c r="G68" s="1438"/>
      <c r="H68" s="1409"/>
      <c r="I68" s="1410"/>
      <c r="J68" s="1697"/>
      <c r="K68" s="1771"/>
      <c r="L68" s="1772"/>
      <c r="M68" s="1773"/>
      <c r="N68" s="1478"/>
      <c r="O68" s="1259"/>
      <c r="P68" s="1259"/>
      <c r="Q68" s="1260"/>
      <c r="R68" s="1269"/>
      <c r="S68" s="2054"/>
      <c r="T68" s="2055"/>
      <c r="U68" s="2056"/>
      <c r="V68" s="1328"/>
      <c r="W68" s="1358"/>
      <c r="X68" s="1359"/>
      <c r="Y68" s="1360"/>
      <c r="Z68" s="1908"/>
      <c r="AA68" s="1298"/>
      <c r="AB68" s="1298"/>
      <c r="AC68" s="1906"/>
      <c r="AD68" s="57"/>
      <c r="AE68" s="96"/>
      <c r="AF68" s="97"/>
      <c r="AG68" s="97"/>
      <c r="AH68" s="97"/>
      <c r="AI68" s="97"/>
      <c r="AJ68" s="97"/>
      <c r="AK68" s="135"/>
      <c r="AL68" s="97"/>
      <c r="AM68" s="1502"/>
    </row>
    <row r="69" spans="1:39" ht="18" customHeight="1" thickBot="1" x14ac:dyDescent="0.3">
      <c r="A69" s="1868"/>
      <c r="B69" s="1916"/>
      <c r="C69" s="1448"/>
      <c r="D69" s="1409"/>
      <c r="E69" s="1409"/>
      <c r="F69" s="1409"/>
      <c r="G69" s="1438"/>
      <c r="H69" s="1409"/>
      <c r="I69" s="1410"/>
      <c r="J69" s="1904"/>
      <c r="K69" s="22">
        <v>6</v>
      </c>
      <c r="L69" s="22">
        <v>6</v>
      </c>
      <c r="M69" s="23">
        <v>6</v>
      </c>
      <c r="N69" s="1479"/>
      <c r="O69" s="22">
        <v>7</v>
      </c>
      <c r="P69" s="22">
        <v>7</v>
      </c>
      <c r="Q69" s="24">
        <v>7</v>
      </c>
      <c r="R69" s="1270"/>
      <c r="S69" s="84">
        <v>6</v>
      </c>
      <c r="T69" s="33">
        <v>6</v>
      </c>
      <c r="U69" s="34">
        <v>6</v>
      </c>
      <c r="V69" s="1329"/>
      <c r="W69" s="123">
        <v>7</v>
      </c>
      <c r="X69" s="35">
        <v>7</v>
      </c>
      <c r="Y69" s="215">
        <v>7</v>
      </c>
      <c r="Z69" s="1909"/>
      <c r="AA69" s="22">
        <v>6</v>
      </c>
      <c r="AB69" s="22">
        <v>6</v>
      </c>
      <c r="AC69" s="23">
        <v>6</v>
      </c>
      <c r="AD69" s="132"/>
      <c r="AE69" s="98"/>
      <c r="AF69" s="99"/>
      <c r="AG69" s="99"/>
      <c r="AH69" s="99"/>
      <c r="AI69" s="99"/>
      <c r="AJ69" s="99"/>
      <c r="AK69" s="99"/>
      <c r="AL69" s="99"/>
      <c r="AM69" s="1503"/>
    </row>
    <row r="70" spans="1:39" ht="18" customHeight="1" thickBot="1" x14ac:dyDescent="0.3">
      <c r="A70" s="1868"/>
      <c r="B70" s="1784">
        <v>14</v>
      </c>
      <c r="C70" s="1441" t="s">
        <v>61</v>
      </c>
      <c r="D70" s="1409">
        <f>COUNT(K73,O73,S73,W73,AA73)</f>
        <v>4</v>
      </c>
      <c r="E70" s="1409">
        <f>COUNT(L73,P73,T73,X73,AB73)</f>
        <v>4</v>
      </c>
      <c r="F70" s="1409">
        <f>COUNT(M73,Q73,U73,Y73,AC73)</f>
        <v>4</v>
      </c>
      <c r="G70" s="1438">
        <f>SUM(K73,O73,S73,W73,AA73)</f>
        <v>18</v>
      </c>
      <c r="H70" s="1409">
        <f>SUM(L73,P73,T73,X73,AB73)</f>
        <v>18</v>
      </c>
      <c r="I70" s="1410">
        <f>SUM(M73,Q73,U73,Y73,AC73)</f>
        <v>18</v>
      </c>
      <c r="J70" s="1715">
        <v>16</v>
      </c>
      <c r="K70" s="1958"/>
      <c r="L70" s="1958"/>
      <c r="M70" s="2007"/>
      <c r="N70" s="2008">
        <v>17</v>
      </c>
      <c r="O70" s="1958"/>
      <c r="P70" s="1958"/>
      <c r="Q70" s="1959"/>
      <c r="R70" s="1818">
        <v>18</v>
      </c>
      <c r="S70" s="2042" t="s">
        <v>3</v>
      </c>
      <c r="T70" s="2043"/>
      <c r="U70" s="2044"/>
      <c r="V70" s="1811">
        <v>19</v>
      </c>
      <c r="W70" s="1972"/>
      <c r="X70" s="1973"/>
      <c r="Y70" s="1974"/>
      <c r="Z70" s="1348">
        <v>20</v>
      </c>
      <c r="AA70" s="1569"/>
      <c r="AB70" s="1570"/>
      <c r="AC70" s="1571"/>
      <c r="AD70" s="56"/>
      <c r="AE70" s="104"/>
      <c r="AF70" s="105"/>
      <c r="AG70" s="105"/>
      <c r="AH70" s="105"/>
      <c r="AI70" s="105"/>
      <c r="AJ70" s="105"/>
      <c r="AK70" s="106"/>
      <c r="AL70" s="106"/>
      <c r="AM70" s="1595" t="s">
        <v>117</v>
      </c>
    </row>
    <row r="71" spans="1:39" ht="18" customHeight="1" thickBot="1" x14ac:dyDescent="0.3">
      <c r="A71" s="1868"/>
      <c r="B71" s="1779"/>
      <c r="C71" s="1442"/>
      <c r="D71" s="1409"/>
      <c r="E71" s="1409"/>
      <c r="F71" s="1409"/>
      <c r="G71" s="1438"/>
      <c r="H71" s="1409"/>
      <c r="I71" s="1410"/>
      <c r="J71" s="1903"/>
      <c r="K71" s="867"/>
      <c r="L71" s="867"/>
      <c r="M71" s="868"/>
      <c r="N71" s="2009"/>
      <c r="O71" s="1259"/>
      <c r="P71" s="1259"/>
      <c r="Q71" s="1260"/>
      <c r="R71" s="1978"/>
      <c r="S71" s="2045"/>
      <c r="T71" s="2046"/>
      <c r="U71" s="2047"/>
      <c r="V71" s="1813"/>
      <c r="W71" s="1969" t="s">
        <v>23</v>
      </c>
      <c r="X71" s="1970"/>
      <c r="Y71" s="1971"/>
      <c r="Z71" s="1349"/>
      <c r="AA71" s="1583"/>
      <c r="AB71" s="1584"/>
      <c r="AC71" s="1585"/>
      <c r="AD71" s="57"/>
      <c r="AE71" s="96"/>
      <c r="AF71" s="97"/>
      <c r="AG71" s="97"/>
      <c r="AH71" s="97"/>
      <c r="AI71" s="97"/>
      <c r="AJ71" s="97"/>
      <c r="AK71" s="106"/>
      <c r="AL71" s="97"/>
      <c r="AM71" s="1502"/>
    </row>
    <row r="72" spans="1:39" ht="18" customHeight="1" thickBot="1" x14ac:dyDescent="0.3">
      <c r="A72" s="1868"/>
      <c r="B72" s="1779"/>
      <c r="C72" s="1443"/>
      <c r="D72" s="1409"/>
      <c r="E72" s="1409"/>
      <c r="F72" s="1409"/>
      <c r="G72" s="1438"/>
      <c r="H72" s="1409"/>
      <c r="I72" s="1410"/>
      <c r="J72" s="1697"/>
      <c r="K72" s="1259"/>
      <c r="L72" s="1259"/>
      <c r="M72" s="2011"/>
      <c r="N72" s="2009"/>
      <c r="O72" s="1259"/>
      <c r="P72" s="1259"/>
      <c r="Q72" s="1260"/>
      <c r="R72" s="1819"/>
      <c r="S72" s="2048"/>
      <c r="T72" s="2049"/>
      <c r="U72" s="2050"/>
      <c r="V72" s="1813"/>
      <c r="W72" s="1975" t="s">
        <v>22</v>
      </c>
      <c r="X72" s="1976"/>
      <c r="Y72" s="1977"/>
      <c r="Z72" s="1331"/>
      <c r="AA72" s="1583"/>
      <c r="AB72" s="1584"/>
      <c r="AC72" s="1585"/>
      <c r="AD72" s="57"/>
      <c r="AE72" s="96"/>
      <c r="AF72" s="97"/>
      <c r="AG72" s="97"/>
      <c r="AH72" s="97"/>
      <c r="AI72" s="97"/>
      <c r="AJ72" s="97"/>
      <c r="AK72" s="106"/>
      <c r="AL72" s="97"/>
      <c r="AM72" s="1502"/>
    </row>
    <row r="73" spans="1:39" ht="18" customHeight="1" thickBot="1" x14ac:dyDescent="0.3">
      <c r="A73" s="1868"/>
      <c r="B73" s="1779"/>
      <c r="C73" s="1672"/>
      <c r="D73" s="933"/>
      <c r="E73" s="933"/>
      <c r="F73" s="933"/>
      <c r="G73" s="1444"/>
      <c r="H73" s="933"/>
      <c r="I73" s="1411"/>
      <c r="J73" s="1904"/>
      <c r="K73" s="27">
        <v>6</v>
      </c>
      <c r="L73" s="27">
        <v>6</v>
      </c>
      <c r="M73" s="28">
        <v>6</v>
      </c>
      <c r="N73" s="2010"/>
      <c r="O73" s="27">
        <v>7</v>
      </c>
      <c r="P73" s="27">
        <v>7</v>
      </c>
      <c r="Q73" s="29">
        <v>7</v>
      </c>
      <c r="R73" s="1979"/>
      <c r="S73" s="84">
        <v>1</v>
      </c>
      <c r="T73" s="33">
        <v>1</v>
      </c>
      <c r="U73" s="34">
        <v>1</v>
      </c>
      <c r="V73" s="1968"/>
      <c r="W73" s="247"/>
      <c r="X73" s="227"/>
      <c r="Y73" s="248"/>
      <c r="Z73" s="1350"/>
      <c r="AA73" s="35">
        <v>4</v>
      </c>
      <c r="AB73" s="35">
        <v>4</v>
      </c>
      <c r="AC73" s="36">
        <v>4</v>
      </c>
      <c r="AD73" s="57"/>
      <c r="AE73" s="98"/>
      <c r="AF73" s="99"/>
      <c r="AG73" s="99"/>
      <c r="AH73" s="99"/>
      <c r="AI73" s="99"/>
      <c r="AJ73" s="99"/>
      <c r="AK73" s="99"/>
      <c r="AL73" s="99"/>
      <c r="AM73" s="1503"/>
    </row>
    <row r="74" spans="1:39" s="4" customFormat="1" ht="18" customHeight="1" thickBot="1" x14ac:dyDescent="0.3">
      <c r="A74" s="1868"/>
      <c r="B74" s="1781">
        <v>15</v>
      </c>
      <c r="C74" s="1446" t="s">
        <v>62</v>
      </c>
      <c r="D74" s="1409">
        <f>COUNT(K77,O77,S77,W77,AA77)</f>
        <v>5</v>
      </c>
      <c r="E74" s="1409">
        <f>COUNT(L77,P77,T77,X77,AB77)</f>
        <v>5</v>
      </c>
      <c r="F74" s="1409">
        <f>COUNT(M77,Q77,U77,Y77,AC77)</f>
        <v>5</v>
      </c>
      <c r="G74" s="1438">
        <f>SUM(K77,O77,S77,W77,AA77)</f>
        <v>32</v>
      </c>
      <c r="H74" s="1409">
        <f>SUM(L77,P77,T77,X77,AB77)</f>
        <v>32</v>
      </c>
      <c r="I74" s="1410">
        <f>SUM(M77,Q77,U77,Y77,AC77)</f>
        <v>30</v>
      </c>
      <c r="J74" s="2003">
        <v>23</v>
      </c>
      <c r="K74" s="1958"/>
      <c r="L74" s="1958"/>
      <c r="M74" s="2007"/>
      <c r="N74" s="1484">
        <v>24</v>
      </c>
      <c r="O74" s="828"/>
      <c r="P74" s="828"/>
      <c r="Q74" s="837"/>
      <c r="R74" s="1997">
        <v>25</v>
      </c>
      <c r="S74" s="2057"/>
      <c r="T74" s="2058"/>
      <c r="U74" s="2059"/>
      <c r="V74" s="1326">
        <v>26</v>
      </c>
      <c r="W74" s="2060"/>
      <c r="X74" s="1656"/>
      <c r="Y74" s="2061"/>
      <c r="Z74" s="1348">
        <v>27</v>
      </c>
      <c r="AA74" s="1569"/>
      <c r="AB74" s="1570"/>
      <c r="AC74" s="1571"/>
      <c r="AD74" s="56"/>
      <c r="AE74" s="93"/>
      <c r="AF74" s="94"/>
      <c r="AG74" s="94"/>
      <c r="AH74" s="94"/>
      <c r="AI74" s="94"/>
      <c r="AJ74" s="94"/>
      <c r="AK74" s="95"/>
      <c r="AL74" s="95"/>
      <c r="AM74" s="1595" t="s">
        <v>112</v>
      </c>
    </row>
    <row r="75" spans="1:39" s="4" customFormat="1" ht="18" customHeight="1" thickBot="1" x14ac:dyDescent="0.3">
      <c r="A75" s="1868"/>
      <c r="B75" s="1782"/>
      <c r="C75" s="1442"/>
      <c r="D75" s="1409"/>
      <c r="E75" s="1409"/>
      <c r="F75" s="1409"/>
      <c r="G75" s="1438"/>
      <c r="H75" s="1409"/>
      <c r="I75" s="1410"/>
      <c r="J75" s="1921"/>
      <c r="K75" s="873"/>
      <c r="L75" s="873"/>
      <c r="M75" s="874"/>
      <c r="N75" s="1485"/>
      <c r="O75" s="704"/>
      <c r="P75" s="704"/>
      <c r="Q75" s="705"/>
      <c r="R75" s="1998"/>
      <c r="S75" s="1343"/>
      <c r="T75" s="1149"/>
      <c r="U75" s="1344"/>
      <c r="V75" s="1328"/>
      <c r="W75" s="1264"/>
      <c r="X75" s="1264"/>
      <c r="Y75" s="1265"/>
      <c r="Z75" s="1331"/>
      <c r="AA75" s="1583"/>
      <c r="AB75" s="1584"/>
      <c r="AC75" s="1585"/>
      <c r="AD75" s="57"/>
      <c r="AE75" s="96"/>
      <c r="AF75" s="97"/>
      <c r="AG75" s="97"/>
      <c r="AH75" s="97"/>
      <c r="AI75" s="97"/>
      <c r="AJ75" s="97"/>
      <c r="AK75" s="113"/>
      <c r="AL75" s="97"/>
      <c r="AM75" s="1502"/>
    </row>
    <row r="76" spans="1:39" s="4" customFormat="1" ht="18" customHeight="1" thickBot="1" x14ac:dyDescent="0.3">
      <c r="A76" s="1868"/>
      <c r="B76" s="1782"/>
      <c r="C76" s="1442"/>
      <c r="D76" s="1409"/>
      <c r="E76" s="1409"/>
      <c r="F76" s="1409"/>
      <c r="G76" s="1438"/>
      <c r="H76" s="1409"/>
      <c r="I76" s="1410"/>
      <c r="J76" s="1921"/>
      <c r="K76" s="1257"/>
      <c r="L76" s="1257"/>
      <c r="M76" s="1339"/>
      <c r="N76" s="1485"/>
      <c r="O76" s="1257"/>
      <c r="P76" s="1257"/>
      <c r="Q76" s="1258"/>
      <c r="R76" s="1998"/>
      <c r="S76" s="1316"/>
      <c r="T76" s="1257"/>
      <c r="U76" s="1339"/>
      <c r="V76" s="1328"/>
      <c r="W76" s="1316"/>
      <c r="X76" s="1257"/>
      <c r="Y76" s="1258"/>
      <c r="Z76" s="1331"/>
      <c r="AA76" s="1257"/>
      <c r="AB76" s="1257"/>
      <c r="AC76" s="1339"/>
      <c r="AD76" s="57"/>
      <c r="AE76" s="96"/>
      <c r="AF76" s="97"/>
      <c r="AG76" s="97"/>
      <c r="AH76" s="97"/>
      <c r="AI76" s="97"/>
      <c r="AJ76" s="97"/>
      <c r="AK76" s="106"/>
      <c r="AL76" s="97"/>
      <c r="AM76" s="1502"/>
    </row>
    <row r="77" spans="1:39" s="4" customFormat="1" ht="18" customHeight="1" thickBot="1" x14ac:dyDescent="0.3">
      <c r="A77" s="1868"/>
      <c r="B77" s="1783"/>
      <c r="C77" s="1672"/>
      <c r="D77" s="1409"/>
      <c r="E77" s="1409"/>
      <c r="F77" s="1409"/>
      <c r="G77" s="1438"/>
      <c r="H77" s="1409"/>
      <c r="I77" s="1410"/>
      <c r="J77" s="2004"/>
      <c r="K77" s="27">
        <v>6</v>
      </c>
      <c r="L77" s="27">
        <v>6</v>
      </c>
      <c r="M77" s="72">
        <v>6</v>
      </c>
      <c r="N77" s="1486"/>
      <c r="O77" s="31">
        <v>7</v>
      </c>
      <c r="P77" s="31">
        <v>7</v>
      </c>
      <c r="Q77" s="32">
        <v>7</v>
      </c>
      <c r="R77" s="1999"/>
      <c r="S77" s="120">
        <v>6</v>
      </c>
      <c r="T77" s="31">
        <v>6</v>
      </c>
      <c r="U77" s="32">
        <v>6</v>
      </c>
      <c r="V77" s="1329"/>
      <c r="W77" s="84">
        <v>7</v>
      </c>
      <c r="X77" s="33">
        <v>7</v>
      </c>
      <c r="Y77" s="32">
        <v>7</v>
      </c>
      <c r="Z77" s="1589"/>
      <c r="AA77" s="33">
        <v>6</v>
      </c>
      <c r="AB77" s="33">
        <v>6</v>
      </c>
      <c r="AC77" s="32">
        <v>4</v>
      </c>
      <c r="AD77" s="59"/>
      <c r="AE77" s="232"/>
      <c r="AF77" s="233"/>
      <c r="AG77" s="233"/>
      <c r="AH77" s="233"/>
      <c r="AI77" s="233"/>
      <c r="AJ77" s="233"/>
      <c r="AK77" s="233"/>
      <c r="AL77" s="233"/>
      <c r="AM77" s="1503"/>
    </row>
    <row r="78" spans="1:39" ht="18" customHeight="1" thickBot="1" x14ac:dyDescent="0.3">
      <c r="A78" s="1868"/>
      <c r="B78" s="1779">
        <v>16</v>
      </c>
      <c r="C78" s="1443">
        <v>30</v>
      </c>
      <c r="D78" s="935">
        <f>COUNT(K81,O81,S81,W81,AA81)</f>
        <v>1</v>
      </c>
      <c r="E78" s="935">
        <f>COUNT(L81,P81,T81,X81,AB81)</f>
        <v>1</v>
      </c>
      <c r="F78" s="935">
        <f>COUNT(M81,Q81,U81,Y81,AC81)</f>
        <v>1</v>
      </c>
      <c r="G78" s="1666">
        <f>SUM(K81,O81,S81,W81,AA81)</f>
        <v>6</v>
      </c>
      <c r="H78" s="935">
        <f>SUM(L81,P81,T81,X81,AB81)</f>
        <v>6</v>
      </c>
      <c r="I78" s="1669">
        <f>SUM(M81,Q81,U81,Y81,AC81)</f>
        <v>6</v>
      </c>
      <c r="J78" s="1920">
        <v>30</v>
      </c>
      <c r="K78" s="1795"/>
      <c r="L78" s="1795"/>
      <c r="M78" s="1801"/>
      <c r="N78" s="1799"/>
      <c r="O78" s="840"/>
      <c r="P78" s="840"/>
      <c r="Q78" s="841"/>
      <c r="R78" s="1261"/>
      <c r="S78" s="1345"/>
      <c r="T78" s="1346"/>
      <c r="U78" s="1347"/>
      <c r="V78" s="1341"/>
      <c r="W78" s="1960"/>
      <c r="X78" s="1961"/>
      <c r="Y78" s="1962"/>
      <c r="Z78" s="1330"/>
      <c r="AA78" s="1580"/>
      <c r="AB78" s="1581"/>
      <c r="AC78" s="1582"/>
      <c r="AD78" s="57"/>
      <c r="AE78" s="104"/>
      <c r="AF78" s="105"/>
      <c r="AG78" s="105"/>
      <c r="AH78" s="105"/>
      <c r="AI78" s="105"/>
      <c r="AJ78" s="105"/>
      <c r="AK78" s="106"/>
      <c r="AL78" s="106"/>
      <c r="AM78" s="1502"/>
    </row>
    <row r="79" spans="1:39" ht="18" customHeight="1" thickBot="1" x14ac:dyDescent="0.3">
      <c r="A79" s="1868"/>
      <c r="B79" s="1779"/>
      <c r="C79" s="1442"/>
      <c r="D79" s="1409"/>
      <c r="E79" s="1409"/>
      <c r="F79" s="1409"/>
      <c r="G79" s="1438"/>
      <c r="H79" s="1409"/>
      <c r="I79" s="1410"/>
      <c r="J79" s="1921"/>
      <c r="K79" s="873"/>
      <c r="L79" s="873"/>
      <c r="M79" s="874"/>
      <c r="N79" s="1485"/>
      <c r="O79" s="704"/>
      <c r="P79" s="704"/>
      <c r="Q79" s="705"/>
      <c r="R79" s="1262"/>
      <c r="S79" s="1343"/>
      <c r="T79" s="1149"/>
      <c r="U79" s="1344"/>
      <c r="V79" s="1328"/>
      <c r="W79" s="1264"/>
      <c r="X79" s="1264"/>
      <c r="Y79" s="1265"/>
      <c r="Z79" s="1331"/>
      <c r="AA79" s="1583"/>
      <c r="AB79" s="1584"/>
      <c r="AC79" s="1585"/>
      <c r="AD79" s="57"/>
      <c r="AE79" s="96"/>
      <c r="AF79" s="97"/>
      <c r="AG79" s="97"/>
      <c r="AH79" s="97"/>
      <c r="AI79" s="97"/>
      <c r="AJ79" s="97"/>
      <c r="AK79" s="113"/>
      <c r="AL79" s="97"/>
      <c r="AM79" s="1502"/>
    </row>
    <row r="80" spans="1:39" ht="18" customHeight="1" x14ac:dyDescent="0.25">
      <c r="A80" s="1868"/>
      <c r="B80" s="1779"/>
      <c r="C80" s="1442"/>
      <c r="D80" s="1409"/>
      <c r="E80" s="1409"/>
      <c r="F80" s="1409"/>
      <c r="G80" s="1438"/>
      <c r="H80" s="1409"/>
      <c r="I80" s="1410"/>
      <c r="J80" s="1921"/>
      <c r="K80" s="1257"/>
      <c r="L80" s="1257"/>
      <c r="M80" s="1339"/>
      <c r="N80" s="1485"/>
      <c r="O80" s="1257"/>
      <c r="P80" s="1257"/>
      <c r="Q80" s="1258"/>
      <c r="R80" s="1262"/>
      <c r="S80" s="1316"/>
      <c r="T80" s="1257"/>
      <c r="U80" s="1339"/>
      <c r="V80" s="1328"/>
      <c r="W80" s="1316"/>
      <c r="X80" s="1257"/>
      <c r="Y80" s="1258"/>
      <c r="Z80" s="1331"/>
      <c r="AA80" s="1257"/>
      <c r="AB80" s="1257"/>
      <c r="AC80" s="1339"/>
      <c r="AD80" s="57"/>
      <c r="AE80" s="96"/>
      <c r="AF80" s="97"/>
      <c r="AG80" s="97"/>
      <c r="AH80" s="97"/>
      <c r="AI80" s="97"/>
      <c r="AJ80" s="97"/>
      <c r="AK80" s="106"/>
      <c r="AL80" s="97"/>
      <c r="AM80" s="1502"/>
    </row>
    <row r="81" spans="1:43" ht="18" customHeight="1" thickBot="1" x14ac:dyDescent="0.3">
      <c r="A81" s="1919"/>
      <c r="B81" s="1780"/>
      <c r="C81" s="1673"/>
      <c r="D81" s="1668"/>
      <c r="E81" s="1668"/>
      <c r="F81" s="1668"/>
      <c r="G81" s="1667"/>
      <c r="H81" s="1668"/>
      <c r="I81" s="1670"/>
      <c r="J81" s="1922"/>
      <c r="K81" s="25">
        <v>6</v>
      </c>
      <c r="L81" s="25">
        <v>6</v>
      </c>
      <c r="M81" s="146">
        <v>6</v>
      </c>
      <c r="N81" s="1800"/>
      <c r="O81" s="30"/>
      <c r="P81" s="30"/>
      <c r="Q81" s="37"/>
      <c r="R81" s="1263"/>
      <c r="S81" s="119"/>
      <c r="T81" s="30"/>
      <c r="U81" s="37"/>
      <c r="V81" s="1342"/>
      <c r="W81" s="125"/>
      <c r="X81" s="42"/>
      <c r="Y81" s="37"/>
      <c r="Z81" s="1332"/>
      <c r="AA81" s="42"/>
      <c r="AB81" s="42"/>
      <c r="AC81" s="37"/>
      <c r="AD81" s="131"/>
      <c r="AE81" s="102"/>
      <c r="AF81" s="103"/>
      <c r="AG81" s="103"/>
      <c r="AH81" s="103"/>
      <c r="AI81" s="103"/>
      <c r="AJ81" s="103"/>
      <c r="AK81" s="103"/>
      <c r="AL81" s="103"/>
      <c r="AM81" s="1600"/>
    </row>
    <row r="82" spans="1:43" ht="18" customHeight="1" x14ac:dyDescent="0.25">
      <c r="A82" s="270"/>
      <c r="B82" s="1779">
        <v>16</v>
      </c>
      <c r="C82" s="1443" t="s">
        <v>85</v>
      </c>
      <c r="D82" s="935">
        <f>COUNT(K85,O85,S85,W85,AA85)</f>
        <v>4</v>
      </c>
      <c r="E82" s="935">
        <f>COUNT(L85,P85,T85,X85,AB85)</f>
        <v>4</v>
      </c>
      <c r="F82" s="935">
        <f>COUNT(M85,Q85,U85,Y85,AC85)</f>
        <v>4</v>
      </c>
      <c r="G82" s="1666">
        <f>SUM(K85,O85,S85,W85,AA85)</f>
        <v>26</v>
      </c>
      <c r="H82" s="935">
        <f>SUM(L85,P85,T85,X85,AB85)</f>
        <v>26</v>
      </c>
      <c r="I82" s="1669">
        <f>SUM(M85,Q85,U85,Y85,AC85)</f>
        <v>24</v>
      </c>
      <c r="J82" s="1923"/>
      <c r="K82" s="1794"/>
      <c r="L82" s="1795"/>
      <c r="M82" s="1796"/>
      <c r="N82" s="1786">
        <v>1</v>
      </c>
      <c r="O82" s="1789"/>
      <c r="P82" s="1790"/>
      <c r="Q82" s="1791"/>
      <c r="R82" s="1787">
        <v>2</v>
      </c>
      <c r="S82" s="1943"/>
      <c r="T82" s="1795"/>
      <c r="U82" s="1796"/>
      <c r="V82" s="1787">
        <v>3</v>
      </c>
      <c r="W82" s="1943"/>
      <c r="X82" s="1795"/>
      <c r="Y82" s="1796"/>
      <c r="Z82" s="1330">
        <v>4</v>
      </c>
      <c r="AA82" s="1586"/>
      <c r="AB82" s="1587"/>
      <c r="AC82" s="1588"/>
      <c r="AD82" s="57"/>
      <c r="AE82" s="104"/>
      <c r="AF82" s="105"/>
      <c r="AG82" s="105"/>
      <c r="AH82" s="105"/>
      <c r="AI82" s="105"/>
      <c r="AJ82" s="105"/>
      <c r="AK82" s="106"/>
      <c r="AL82" s="106"/>
      <c r="AM82" s="1502" t="s">
        <v>101</v>
      </c>
    </row>
    <row r="83" spans="1:43" ht="18" customHeight="1" x14ac:dyDescent="0.25">
      <c r="A83" s="270"/>
      <c r="B83" s="1779"/>
      <c r="C83" s="1442"/>
      <c r="D83" s="1409"/>
      <c r="E83" s="1409"/>
      <c r="F83" s="1409"/>
      <c r="G83" s="1438"/>
      <c r="H83" s="1409"/>
      <c r="I83" s="1410"/>
      <c r="J83" s="1924"/>
      <c r="K83" s="873"/>
      <c r="L83" s="873"/>
      <c r="M83" s="874"/>
      <c r="N83" s="942"/>
      <c r="O83" s="1306"/>
      <c r="P83" s="1307"/>
      <c r="Q83" s="1659"/>
      <c r="R83" s="1788"/>
      <c r="S83" s="1351"/>
      <c r="T83" s="1259"/>
      <c r="U83" s="1260"/>
      <c r="V83" s="1788"/>
      <c r="W83" s="1351"/>
      <c r="X83" s="1259"/>
      <c r="Y83" s="1260"/>
      <c r="Z83" s="1331"/>
      <c r="AA83" s="1340"/>
      <c r="AB83" s="492"/>
      <c r="AC83" s="493"/>
      <c r="AD83" s="57"/>
      <c r="AE83" s="96"/>
      <c r="AF83" s="97"/>
      <c r="AG83" s="97"/>
      <c r="AH83" s="97"/>
      <c r="AI83" s="97"/>
      <c r="AJ83" s="97"/>
      <c r="AK83" s="106"/>
      <c r="AL83" s="97"/>
      <c r="AM83" s="1598"/>
    </row>
    <row r="84" spans="1:43" ht="18" customHeight="1" x14ac:dyDescent="0.25">
      <c r="A84" s="270"/>
      <c r="B84" s="1779"/>
      <c r="C84" s="1443"/>
      <c r="D84" s="1409"/>
      <c r="E84" s="1409"/>
      <c r="F84" s="1409"/>
      <c r="G84" s="1438"/>
      <c r="H84" s="1409"/>
      <c r="I84" s="1410"/>
      <c r="J84" s="1924"/>
      <c r="K84" s="1797"/>
      <c r="L84" s="1259"/>
      <c r="M84" s="1260"/>
      <c r="N84" s="942"/>
      <c r="O84" s="1792"/>
      <c r="P84" s="1792"/>
      <c r="Q84" s="1793"/>
      <c r="R84" s="1788"/>
      <c r="S84" s="1351"/>
      <c r="T84" s="1259"/>
      <c r="U84" s="1260"/>
      <c r="V84" s="1788"/>
      <c r="W84" s="1317"/>
      <c r="X84" s="1318"/>
      <c r="Y84" s="1319"/>
      <c r="Z84" s="1331"/>
      <c r="AA84" s="1336"/>
      <c r="AB84" s="1337"/>
      <c r="AC84" s="1338"/>
      <c r="AD84" s="57"/>
      <c r="AE84" s="96"/>
      <c r="AF84" s="97"/>
      <c r="AG84" s="97"/>
      <c r="AH84" s="97"/>
      <c r="AI84" s="97"/>
      <c r="AJ84" s="97"/>
      <c r="AK84" s="106"/>
      <c r="AL84" s="97"/>
      <c r="AM84" s="1598"/>
    </row>
    <row r="85" spans="1:43" ht="18" customHeight="1" x14ac:dyDescent="0.25">
      <c r="A85" s="270"/>
      <c r="B85" s="1779"/>
      <c r="C85" s="1443"/>
      <c r="D85" s="1409"/>
      <c r="E85" s="1409"/>
      <c r="F85" s="1409"/>
      <c r="G85" s="1438"/>
      <c r="H85" s="1409"/>
      <c r="I85" s="1410"/>
      <c r="J85" s="1925"/>
      <c r="K85" s="38"/>
      <c r="L85" s="38"/>
      <c r="M85" s="39"/>
      <c r="N85" s="943"/>
      <c r="O85" s="90">
        <v>7</v>
      </c>
      <c r="P85" s="18">
        <v>7</v>
      </c>
      <c r="Q85" s="73">
        <v>7</v>
      </c>
      <c r="R85" s="1125"/>
      <c r="S85" s="126">
        <v>6</v>
      </c>
      <c r="T85" s="40">
        <v>6</v>
      </c>
      <c r="U85" s="41">
        <v>4</v>
      </c>
      <c r="V85" s="1125"/>
      <c r="W85" s="126">
        <v>7</v>
      </c>
      <c r="X85" s="40">
        <v>7</v>
      </c>
      <c r="Y85" s="41">
        <v>7</v>
      </c>
      <c r="Z85" s="1350"/>
      <c r="AA85" s="84">
        <v>6</v>
      </c>
      <c r="AB85" s="33">
        <v>6</v>
      </c>
      <c r="AC85" s="85">
        <v>6</v>
      </c>
      <c r="AD85" s="132"/>
      <c r="AE85" s="98"/>
      <c r="AF85" s="99"/>
      <c r="AG85" s="99"/>
      <c r="AH85" s="99"/>
      <c r="AI85" s="99"/>
      <c r="AJ85" s="99"/>
      <c r="AK85" s="99"/>
      <c r="AL85" s="99"/>
      <c r="AM85" s="1599"/>
    </row>
    <row r="86" spans="1:43" ht="18" customHeight="1" x14ac:dyDescent="0.25">
      <c r="A86" s="270"/>
      <c r="B86" s="1781">
        <v>17</v>
      </c>
      <c r="C86" s="1446" t="s">
        <v>86</v>
      </c>
      <c r="D86" s="1409">
        <f>COUNT(K89,O89,S89,W89,AA89)</f>
        <v>5</v>
      </c>
      <c r="E86" s="1409">
        <f>COUNT(L89,P89,T89,X89,AB89)</f>
        <v>5</v>
      </c>
      <c r="F86" s="1409">
        <f>COUNT(M89,Q89,U89,Y89,AC89)</f>
        <v>5</v>
      </c>
      <c r="G86" s="1438">
        <f>SUM(K89,O89,S89,W89,AA89)</f>
        <v>10</v>
      </c>
      <c r="H86" s="1409">
        <f>SUM(L89,P89,T89,X89,AB89)</f>
        <v>10</v>
      </c>
      <c r="I86" s="1410">
        <f>SUM(M89,Q89,U89,Y89,AC89)</f>
        <v>14</v>
      </c>
      <c r="J86" s="1715">
        <v>7</v>
      </c>
      <c r="K86" s="1966"/>
      <c r="L86" s="1966"/>
      <c r="M86" s="1967"/>
      <c r="N86" s="1477">
        <v>8</v>
      </c>
      <c r="O86" s="1963"/>
      <c r="P86" s="1964"/>
      <c r="Q86" s="1965"/>
      <c r="R86" s="1798">
        <v>9</v>
      </c>
      <c r="S86" s="1320"/>
      <c r="T86" s="1321"/>
      <c r="U86" s="1322"/>
      <c r="V86" s="1323">
        <v>10</v>
      </c>
      <c r="W86" s="1320"/>
      <c r="X86" s="1321"/>
      <c r="Y86" s="1322"/>
      <c r="Z86" s="1326">
        <v>11</v>
      </c>
      <c r="AA86" s="1320"/>
      <c r="AB86" s="1321"/>
      <c r="AC86" s="1322"/>
      <c r="AD86" s="56"/>
      <c r="AE86" s="104"/>
      <c r="AF86" s="105"/>
      <c r="AG86" s="105"/>
      <c r="AH86" s="105"/>
      <c r="AI86" s="105"/>
      <c r="AJ86" s="105"/>
      <c r="AK86" s="106"/>
      <c r="AL86" s="106"/>
      <c r="AM86" s="1538" t="s">
        <v>138</v>
      </c>
    </row>
    <row r="87" spans="1:43" ht="18" customHeight="1" x14ac:dyDescent="0.25">
      <c r="A87" s="270"/>
      <c r="B87" s="1782"/>
      <c r="C87" s="1442"/>
      <c r="D87" s="1409"/>
      <c r="E87" s="1409"/>
      <c r="F87" s="1409"/>
      <c r="G87" s="1438"/>
      <c r="H87" s="1409"/>
      <c r="I87" s="1410"/>
      <c r="J87" s="1697"/>
      <c r="K87" s="474" t="s">
        <v>10</v>
      </c>
      <c r="L87" s="474"/>
      <c r="M87" s="494"/>
      <c r="N87" s="1478"/>
      <c r="O87" s="474" t="s">
        <v>10</v>
      </c>
      <c r="P87" s="474"/>
      <c r="Q87" s="494"/>
      <c r="R87" s="1272"/>
      <c r="S87" s="474" t="s">
        <v>10</v>
      </c>
      <c r="T87" s="474"/>
      <c r="U87" s="494"/>
      <c r="V87" s="1324"/>
      <c r="W87" s="474" t="s">
        <v>10</v>
      </c>
      <c r="X87" s="474"/>
      <c r="Y87" s="494"/>
      <c r="Z87" s="1327"/>
      <c r="AA87" s="474" t="s">
        <v>10</v>
      </c>
      <c r="AB87" s="474"/>
      <c r="AC87" s="494"/>
      <c r="AD87" s="57"/>
      <c r="AE87" s="96"/>
      <c r="AF87" s="97"/>
      <c r="AG87" s="97"/>
      <c r="AH87" s="97"/>
      <c r="AI87" s="97"/>
      <c r="AJ87" s="97"/>
      <c r="AK87" s="106"/>
      <c r="AL87" s="97"/>
      <c r="AM87" s="1539"/>
    </row>
    <row r="88" spans="1:43" ht="18" customHeight="1" x14ac:dyDescent="0.25">
      <c r="A88" s="270"/>
      <c r="B88" s="1782"/>
      <c r="C88" s="1443"/>
      <c r="D88" s="1409"/>
      <c r="E88" s="1409"/>
      <c r="F88" s="1409"/>
      <c r="G88" s="1438"/>
      <c r="H88" s="1409"/>
      <c r="I88" s="1410"/>
      <c r="J88" s="1697"/>
      <c r="K88" s="1255"/>
      <c r="L88" s="1255"/>
      <c r="M88" s="1428"/>
      <c r="N88" s="1478"/>
      <c r="O88" s="1423"/>
      <c r="P88" s="1264"/>
      <c r="Q88" s="1265"/>
      <c r="R88" s="1272"/>
      <c r="S88" s="1351"/>
      <c r="T88" s="1259"/>
      <c r="U88" s="1260"/>
      <c r="V88" s="1272"/>
      <c r="W88" s="1317"/>
      <c r="X88" s="1318"/>
      <c r="Y88" s="1319"/>
      <c r="Z88" s="1328"/>
      <c r="AA88" s="1317"/>
      <c r="AB88" s="1318"/>
      <c r="AC88" s="1319"/>
      <c r="AD88" s="57"/>
      <c r="AE88" s="96"/>
      <c r="AF88" s="97"/>
      <c r="AG88" s="97"/>
      <c r="AH88" s="97"/>
      <c r="AI88" s="97"/>
      <c r="AJ88" s="97"/>
      <c r="AK88" s="106"/>
      <c r="AL88" s="97"/>
      <c r="AM88" s="1539"/>
    </row>
    <row r="89" spans="1:43" ht="18" customHeight="1" x14ac:dyDescent="0.25">
      <c r="A89" s="270"/>
      <c r="B89" s="1783"/>
      <c r="C89" s="1672"/>
      <c r="D89" s="1409"/>
      <c r="E89" s="1409"/>
      <c r="F89" s="1409"/>
      <c r="G89" s="1438"/>
      <c r="H89" s="1409"/>
      <c r="I89" s="1410"/>
      <c r="J89" s="1716"/>
      <c r="K89" s="346">
        <v>2</v>
      </c>
      <c r="L89" s="346">
        <v>2</v>
      </c>
      <c r="M89" s="72">
        <v>2</v>
      </c>
      <c r="N89" s="1719"/>
      <c r="O89" s="346">
        <v>2</v>
      </c>
      <c r="P89" s="346">
        <v>2</v>
      </c>
      <c r="Q89" s="34">
        <v>2</v>
      </c>
      <c r="R89" s="1325"/>
      <c r="S89" s="347">
        <v>2</v>
      </c>
      <c r="T89" s="348">
        <v>2</v>
      </c>
      <c r="U89" s="41">
        <v>2</v>
      </c>
      <c r="V89" s="1325"/>
      <c r="W89" s="347">
        <v>2</v>
      </c>
      <c r="X89" s="348">
        <v>2</v>
      </c>
      <c r="Y89" s="41">
        <v>4</v>
      </c>
      <c r="Z89" s="1329"/>
      <c r="AA89" s="349">
        <v>2</v>
      </c>
      <c r="AB89" s="350">
        <v>2</v>
      </c>
      <c r="AC89" s="36">
        <v>4</v>
      </c>
      <c r="AD89" s="132"/>
      <c r="AE89" s="98"/>
      <c r="AF89" s="99"/>
      <c r="AG89" s="99"/>
      <c r="AH89" s="99"/>
      <c r="AI89" s="99"/>
      <c r="AJ89" s="99"/>
      <c r="AK89" s="99"/>
      <c r="AL89" s="99"/>
      <c r="AM89" s="1540"/>
    </row>
    <row r="90" spans="1:43" ht="18" customHeight="1" x14ac:dyDescent="0.25">
      <c r="A90" s="270">
        <v>12</v>
      </c>
      <c r="B90" s="1452">
        <v>18</v>
      </c>
      <c r="C90" s="1859" t="s">
        <v>87</v>
      </c>
      <c r="D90" s="1758">
        <f>COUNT(K93,O93,S93,W93,AA93)</f>
        <v>5</v>
      </c>
      <c r="E90" s="1409">
        <f>COUNT(L93,P93,T93,X93,AB93)</f>
        <v>5</v>
      </c>
      <c r="F90" s="1409">
        <f>COUNT(M93,Q93,U93,Y93,AC93)</f>
        <v>5</v>
      </c>
      <c r="G90" s="1438">
        <f>SUM(K93,O93,S93,W93,AA93)</f>
        <v>32</v>
      </c>
      <c r="H90" s="1409">
        <f>SUM(L93,P93,T93,X93,AB93)</f>
        <v>32</v>
      </c>
      <c r="I90" s="1410">
        <f>SUM(M93,Q93,U93,Y93,AC93)</f>
        <v>32</v>
      </c>
      <c r="J90" s="1926">
        <v>14</v>
      </c>
      <c r="K90" s="1421"/>
      <c r="L90" s="1421"/>
      <c r="M90" s="1427"/>
      <c r="N90" s="1424">
        <v>15</v>
      </c>
      <c r="O90" s="1785"/>
      <c r="P90" s="1394"/>
      <c r="Q90" s="1395"/>
      <c r="R90" s="1818">
        <v>16</v>
      </c>
      <c r="S90" s="1313"/>
      <c r="T90" s="1314"/>
      <c r="U90" s="1315"/>
      <c r="V90" s="1821">
        <v>17</v>
      </c>
      <c r="W90" s="1421"/>
      <c r="X90" s="1421"/>
      <c r="Y90" s="1422"/>
      <c r="Z90" s="1348">
        <v>18</v>
      </c>
      <c r="AA90" s="1372"/>
      <c r="AB90" s="1372"/>
      <c r="AC90" s="1373"/>
      <c r="AD90" s="56"/>
      <c r="AE90" s="104"/>
      <c r="AF90" s="105"/>
      <c r="AG90" s="105"/>
      <c r="AH90" s="105"/>
      <c r="AI90" s="105"/>
      <c r="AJ90" s="105"/>
      <c r="AK90" s="106"/>
      <c r="AL90" s="106"/>
      <c r="AM90" s="1504"/>
    </row>
    <row r="91" spans="1:43" ht="18" customHeight="1" x14ac:dyDescent="0.25">
      <c r="A91" s="270"/>
      <c r="B91" s="1453"/>
      <c r="C91" s="1860"/>
      <c r="D91" s="1758"/>
      <c r="E91" s="1409"/>
      <c r="F91" s="1409"/>
      <c r="G91" s="1438"/>
      <c r="H91" s="1409"/>
      <c r="I91" s="1410"/>
      <c r="J91" s="1927"/>
      <c r="K91" s="873"/>
      <c r="L91" s="873"/>
      <c r="M91" s="874"/>
      <c r="N91" s="1425"/>
      <c r="O91" s="1423"/>
      <c r="P91" s="1264"/>
      <c r="Q91" s="1265"/>
      <c r="R91" s="1819"/>
      <c r="S91" s="1316"/>
      <c r="T91" s="1257"/>
      <c r="U91" s="1258"/>
      <c r="V91" s="1822"/>
      <c r="W91" s="1423"/>
      <c r="X91" s="1264"/>
      <c r="Y91" s="1265"/>
      <c r="Z91" s="1331"/>
      <c r="AA91" s="1310"/>
      <c r="AB91" s="1311"/>
      <c r="AC91" s="1312"/>
      <c r="AD91" s="57"/>
      <c r="AE91" s="96"/>
      <c r="AF91" s="97"/>
      <c r="AG91" s="97"/>
      <c r="AH91" s="97"/>
      <c r="AI91" s="97"/>
      <c r="AJ91" s="97"/>
      <c r="AK91" s="106"/>
      <c r="AL91" s="97"/>
      <c r="AM91" s="1512"/>
    </row>
    <row r="92" spans="1:43" ht="18" customHeight="1" x14ac:dyDescent="0.25">
      <c r="A92" s="270"/>
      <c r="B92" s="1453"/>
      <c r="C92" s="1861"/>
      <c r="D92" s="1758"/>
      <c r="E92" s="1409"/>
      <c r="F92" s="1409"/>
      <c r="G92" s="1438"/>
      <c r="H92" s="1409"/>
      <c r="I92" s="1410"/>
      <c r="J92" s="1927"/>
      <c r="K92" s="1255"/>
      <c r="L92" s="1255"/>
      <c r="M92" s="1428"/>
      <c r="N92" s="1425"/>
      <c r="O92" s="1423"/>
      <c r="P92" s="1264"/>
      <c r="Q92" s="1265"/>
      <c r="R92" s="1819"/>
      <c r="S92" s="1254"/>
      <c r="T92" s="1255"/>
      <c r="U92" s="1256"/>
      <c r="V92" s="1822"/>
      <c r="W92" s="1255"/>
      <c r="X92" s="1255"/>
      <c r="Y92" s="1256"/>
      <c r="Z92" s="1331"/>
      <c r="AA92" s="1374"/>
      <c r="AB92" s="1375"/>
      <c r="AC92" s="1375"/>
      <c r="AD92" s="57"/>
      <c r="AE92" s="96"/>
      <c r="AF92" s="97"/>
      <c r="AG92" s="97"/>
      <c r="AH92" s="97"/>
      <c r="AI92" s="97"/>
      <c r="AJ92" s="97"/>
      <c r="AK92" s="106"/>
      <c r="AL92" s="97"/>
      <c r="AM92" s="1512"/>
    </row>
    <row r="93" spans="1:43" ht="18" customHeight="1" x14ac:dyDescent="0.25">
      <c r="A93" s="270"/>
      <c r="B93" s="1454"/>
      <c r="C93" s="1862"/>
      <c r="D93" s="1863"/>
      <c r="E93" s="933"/>
      <c r="F93" s="933"/>
      <c r="G93" s="1444"/>
      <c r="H93" s="933"/>
      <c r="I93" s="1411"/>
      <c r="J93" s="1928"/>
      <c r="K93" s="31">
        <v>6</v>
      </c>
      <c r="L93" s="31">
        <v>6</v>
      </c>
      <c r="M93" s="72">
        <v>6</v>
      </c>
      <c r="N93" s="1426"/>
      <c r="O93" s="33">
        <v>7</v>
      </c>
      <c r="P93" s="33">
        <v>7</v>
      </c>
      <c r="Q93" s="34">
        <v>7</v>
      </c>
      <c r="R93" s="1820"/>
      <c r="S93" s="120">
        <v>6</v>
      </c>
      <c r="T93" s="31">
        <v>6</v>
      </c>
      <c r="U93" s="32">
        <v>6</v>
      </c>
      <c r="V93" s="1823"/>
      <c r="W93" s="31">
        <v>7</v>
      </c>
      <c r="X93" s="31">
        <v>7</v>
      </c>
      <c r="Y93" s="32">
        <v>7</v>
      </c>
      <c r="Z93" s="1589"/>
      <c r="AA93" s="27">
        <v>6</v>
      </c>
      <c r="AB93" s="31">
        <v>6</v>
      </c>
      <c r="AC93" s="28">
        <v>6</v>
      </c>
      <c r="AD93" s="132"/>
      <c r="AE93" s="98"/>
      <c r="AF93" s="99"/>
      <c r="AG93" s="99"/>
      <c r="AH93" s="99"/>
      <c r="AI93" s="99"/>
      <c r="AJ93" s="99"/>
      <c r="AK93" s="99"/>
      <c r="AL93" s="99"/>
      <c r="AM93" s="1597"/>
    </row>
    <row r="94" spans="1:43" s="3" customFormat="1" ht="18" customHeight="1" x14ac:dyDescent="0.25">
      <c r="A94" s="270"/>
      <c r="B94" s="1864">
        <v>19</v>
      </c>
      <c r="C94" s="1865" t="s">
        <v>88</v>
      </c>
      <c r="D94" s="1409">
        <f>COUNT(K97,O97,S97,W97,AA97)</f>
        <v>4</v>
      </c>
      <c r="E94" s="1409">
        <f>COUNT(L97,P97,T97,X97,AB97)</f>
        <v>4</v>
      </c>
      <c r="F94" s="1409">
        <f>COUNT(M97,Q97,U97,Y97,AC97)</f>
        <v>4</v>
      </c>
      <c r="G94" s="1438">
        <f>SUM(K97,O97,S97,W97,AA97)</f>
        <v>27</v>
      </c>
      <c r="H94" s="1409">
        <f>SUM(L97,P97,T97,X97,AB97)</f>
        <v>27</v>
      </c>
      <c r="I94" s="1410">
        <f>SUM(M97,Q97,U97,Y97,AC97)</f>
        <v>27</v>
      </c>
      <c r="J94" s="1412">
        <v>21</v>
      </c>
      <c r="K94" s="1421"/>
      <c r="L94" s="1421"/>
      <c r="M94" s="1427"/>
      <c r="N94" s="1415">
        <v>22</v>
      </c>
      <c r="O94" s="1785"/>
      <c r="P94" s="1394"/>
      <c r="Q94" s="1395"/>
      <c r="R94" s="1424">
        <v>23</v>
      </c>
      <c r="S94" s="1429" t="s">
        <v>111</v>
      </c>
      <c r="T94" s="1430"/>
      <c r="U94" s="1431"/>
      <c r="V94" s="1418">
        <v>24</v>
      </c>
      <c r="W94" s="1421"/>
      <c r="X94" s="1421"/>
      <c r="Y94" s="1422"/>
      <c r="Z94" s="1572">
        <v>25</v>
      </c>
      <c r="AA94" s="1827"/>
      <c r="AB94" s="1828"/>
      <c r="AC94" s="1829"/>
      <c r="AD94" s="56"/>
      <c r="AE94" s="104"/>
      <c r="AF94" s="105"/>
      <c r="AG94" s="105"/>
      <c r="AH94" s="105"/>
      <c r="AI94" s="105"/>
      <c r="AJ94" s="105"/>
      <c r="AK94" s="106"/>
      <c r="AL94" s="106"/>
      <c r="AM94" s="1502" t="s">
        <v>115</v>
      </c>
      <c r="AQ94" s="395" t="s">
        <v>124</v>
      </c>
    </row>
    <row r="95" spans="1:43" s="3" customFormat="1" ht="18" customHeight="1" x14ac:dyDescent="0.25">
      <c r="A95" s="270"/>
      <c r="B95" s="1864"/>
      <c r="C95" s="1866"/>
      <c r="D95" s="1409"/>
      <c r="E95" s="1409"/>
      <c r="F95" s="1409"/>
      <c r="G95" s="1438"/>
      <c r="H95" s="1409"/>
      <c r="I95" s="1410"/>
      <c r="J95" s="1413"/>
      <c r="K95" s="873"/>
      <c r="L95" s="873"/>
      <c r="M95" s="874"/>
      <c r="N95" s="1416"/>
      <c r="O95" s="1423"/>
      <c r="P95" s="1264"/>
      <c r="Q95" s="1265"/>
      <c r="R95" s="1425"/>
      <c r="S95" s="1432"/>
      <c r="T95" s="1433"/>
      <c r="U95" s="1434"/>
      <c r="V95" s="1419"/>
      <c r="W95" s="1423"/>
      <c r="X95" s="1264"/>
      <c r="Y95" s="1265"/>
      <c r="Z95" s="1573"/>
      <c r="AA95" s="1838" t="s">
        <v>38</v>
      </c>
      <c r="AB95" s="1839"/>
      <c r="AC95" s="1840"/>
      <c r="AD95" s="57"/>
      <c r="AE95" s="96"/>
      <c r="AF95" s="97"/>
      <c r="AG95" s="97"/>
      <c r="AH95" s="97"/>
      <c r="AI95" s="97"/>
      <c r="AJ95" s="97"/>
      <c r="AK95" s="106"/>
      <c r="AL95" s="97"/>
      <c r="AM95" s="1598"/>
    </row>
    <row r="96" spans="1:43" s="3" customFormat="1" ht="18" customHeight="1" x14ac:dyDescent="0.25">
      <c r="A96" s="270"/>
      <c r="B96" s="1758"/>
      <c r="C96" s="1865"/>
      <c r="D96" s="1409"/>
      <c r="E96" s="1409"/>
      <c r="F96" s="1409"/>
      <c r="G96" s="1438"/>
      <c r="H96" s="1409"/>
      <c r="I96" s="1410"/>
      <c r="J96" s="1413"/>
      <c r="K96" s="1255"/>
      <c r="L96" s="1255"/>
      <c r="M96" s="1428"/>
      <c r="N96" s="1416"/>
      <c r="O96" s="1423"/>
      <c r="P96" s="1264"/>
      <c r="Q96" s="1265"/>
      <c r="R96" s="1425"/>
      <c r="S96" s="1435"/>
      <c r="T96" s="1436"/>
      <c r="U96" s="1437"/>
      <c r="V96" s="1419"/>
      <c r="W96" s="1255"/>
      <c r="X96" s="1255"/>
      <c r="Y96" s="1256"/>
      <c r="Z96" s="1574"/>
      <c r="AA96" s="1830"/>
      <c r="AB96" s="1831"/>
      <c r="AC96" s="1832"/>
      <c r="AD96" s="57"/>
      <c r="AE96" s="96"/>
      <c r="AF96" s="97"/>
      <c r="AG96" s="97"/>
      <c r="AH96" s="97"/>
      <c r="AI96" s="97"/>
      <c r="AJ96" s="97"/>
      <c r="AK96" s="106"/>
      <c r="AL96" s="97"/>
      <c r="AM96" s="1598"/>
    </row>
    <row r="97" spans="1:42" s="3" customFormat="1" ht="17.399999999999999" customHeight="1" x14ac:dyDescent="0.25">
      <c r="A97" s="270"/>
      <c r="B97" s="1863"/>
      <c r="C97" s="1865"/>
      <c r="D97" s="933"/>
      <c r="E97" s="933"/>
      <c r="F97" s="933"/>
      <c r="G97" s="1444"/>
      <c r="H97" s="933"/>
      <c r="I97" s="1411"/>
      <c r="J97" s="1414"/>
      <c r="K97" s="385">
        <v>6</v>
      </c>
      <c r="L97" s="385">
        <v>6</v>
      </c>
      <c r="M97" s="386">
        <v>6</v>
      </c>
      <c r="N97" s="1417"/>
      <c r="O97" s="33">
        <v>7</v>
      </c>
      <c r="P97" s="33">
        <v>7</v>
      </c>
      <c r="Q97" s="34">
        <v>7</v>
      </c>
      <c r="R97" s="1426"/>
      <c r="S97" s="263">
        <v>7</v>
      </c>
      <c r="T97" s="263">
        <v>7</v>
      </c>
      <c r="U97" s="264">
        <v>7</v>
      </c>
      <c r="V97" s="1420"/>
      <c r="W97" s="385">
        <v>7</v>
      </c>
      <c r="X97" s="385">
        <v>7</v>
      </c>
      <c r="Y97" s="387">
        <v>7</v>
      </c>
      <c r="Z97" s="1575"/>
      <c r="AA97" s="136"/>
      <c r="AB97" s="137"/>
      <c r="AC97" s="138"/>
      <c r="AD97" s="132"/>
      <c r="AE97" s="98"/>
      <c r="AF97" s="99"/>
      <c r="AG97" s="99"/>
      <c r="AH97" s="99"/>
      <c r="AI97" s="99"/>
      <c r="AJ97" s="99"/>
      <c r="AK97" s="99"/>
      <c r="AL97" s="99"/>
      <c r="AM97" s="1601"/>
    </row>
    <row r="98" spans="1:42" ht="18" customHeight="1" x14ac:dyDescent="0.25">
      <c r="A98" s="270"/>
      <c r="B98" s="1409">
        <v>20</v>
      </c>
      <c r="C98" s="1871" t="s">
        <v>100</v>
      </c>
      <c r="D98" s="1409">
        <f>COUNT(K101,O101,S101,W101,AA101)</f>
        <v>3</v>
      </c>
      <c r="E98" s="1409">
        <f>COUNT(L101,P101,T101,X101,AB101)</f>
        <v>3</v>
      </c>
      <c r="F98" s="1409">
        <f>COUNT(M101,Q101,U101,Y101,AC101)</f>
        <v>3</v>
      </c>
      <c r="G98" s="1438">
        <f>SUM(K101,O101,S101,W101,AA101)</f>
        <v>11</v>
      </c>
      <c r="H98" s="1409">
        <f>SUM(L101,P101,T101,X101,AB101)</f>
        <v>11</v>
      </c>
      <c r="I98" s="1410">
        <f>SUM(M101,Q101,U101,Y101,AC101)</f>
        <v>11</v>
      </c>
      <c r="J98" s="1950">
        <v>28</v>
      </c>
      <c r="K98" s="1790"/>
      <c r="L98" s="1790"/>
      <c r="M98" s="1791"/>
      <c r="N98" s="1955">
        <v>29</v>
      </c>
      <c r="O98" s="1790"/>
      <c r="P98" s="1790"/>
      <c r="Q98" s="1791"/>
      <c r="R98" s="1947">
        <v>30</v>
      </c>
      <c r="S98" s="1790"/>
      <c r="T98" s="1790"/>
      <c r="U98" s="1791"/>
      <c r="V98" s="1326">
        <v>31</v>
      </c>
      <c r="W98" s="1352"/>
      <c r="X98" s="1353"/>
      <c r="Y98" s="1354"/>
      <c r="Z98" s="1811">
        <v>1</v>
      </c>
      <c r="AA98" s="1808"/>
      <c r="AB98" s="1809"/>
      <c r="AC98" s="1810"/>
      <c r="AD98" s="56"/>
      <c r="AE98" s="93"/>
      <c r="AF98" s="94"/>
      <c r="AG98" s="94"/>
      <c r="AH98" s="94"/>
      <c r="AI98" s="94"/>
      <c r="AJ98" s="94"/>
      <c r="AK98" s="95"/>
      <c r="AL98" s="95"/>
      <c r="AM98" s="1595" t="s">
        <v>114</v>
      </c>
    </row>
    <row r="99" spans="1:42" ht="18" customHeight="1" x14ac:dyDescent="0.25">
      <c r="A99" s="270"/>
      <c r="B99" s="935"/>
      <c r="C99" s="1866"/>
      <c r="D99" s="1409"/>
      <c r="E99" s="1409"/>
      <c r="F99" s="1409"/>
      <c r="G99" s="1438"/>
      <c r="H99" s="1409"/>
      <c r="I99" s="1410"/>
      <c r="J99" s="1951"/>
      <c r="K99" s="1257"/>
      <c r="L99" s="1953"/>
      <c r="M99" s="1954"/>
      <c r="N99" s="1956"/>
      <c r="O99" s="1833"/>
      <c r="P99" s="1834"/>
      <c r="Q99" s="1835"/>
      <c r="R99" s="1948"/>
      <c r="S99" s="1833" t="s">
        <v>40</v>
      </c>
      <c r="T99" s="1834"/>
      <c r="U99" s="1835"/>
      <c r="V99" s="1327"/>
      <c r="W99" s="1355"/>
      <c r="X99" s="1356"/>
      <c r="Y99" s="1357"/>
      <c r="Z99" s="1812"/>
      <c r="AA99" s="1802" t="s">
        <v>96</v>
      </c>
      <c r="AB99" s="1803"/>
      <c r="AC99" s="1804"/>
      <c r="AD99" s="57"/>
      <c r="AE99" s="96"/>
      <c r="AF99" s="97"/>
      <c r="AG99" s="97"/>
      <c r="AH99" s="97"/>
      <c r="AI99" s="97"/>
      <c r="AJ99" s="97"/>
      <c r="AK99" s="113"/>
      <c r="AL99" s="97"/>
      <c r="AM99" s="1502"/>
    </row>
    <row r="100" spans="1:42" ht="18" customHeight="1" x14ac:dyDescent="0.25">
      <c r="A100" s="270"/>
      <c r="B100" s="1409"/>
      <c r="C100" s="1865"/>
      <c r="D100" s="1409"/>
      <c r="E100" s="1409"/>
      <c r="F100" s="1409"/>
      <c r="G100" s="1438"/>
      <c r="H100" s="1409"/>
      <c r="I100" s="1410"/>
      <c r="J100" s="1951"/>
      <c r="K100" s="1836"/>
      <c r="L100" s="1836"/>
      <c r="M100" s="1837"/>
      <c r="N100" s="1956"/>
      <c r="O100" s="1836"/>
      <c r="P100" s="1836"/>
      <c r="Q100" s="1837"/>
      <c r="R100" s="1948"/>
      <c r="S100" s="1836"/>
      <c r="T100" s="1836"/>
      <c r="U100" s="1837"/>
      <c r="V100" s="1328"/>
      <c r="W100" s="1358"/>
      <c r="X100" s="1359"/>
      <c r="Y100" s="1360"/>
      <c r="Z100" s="1813"/>
      <c r="AA100" s="1805"/>
      <c r="AB100" s="1806"/>
      <c r="AC100" s="1807"/>
      <c r="AD100" s="57"/>
      <c r="AE100" s="96"/>
      <c r="AF100" s="97"/>
      <c r="AG100" s="97"/>
      <c r="AH100" s="97"/>
      <c r="AI100" s="97"/>
      <c r="AJ100" s="97"/>
      <c r="AK100" s="106"/>
      <c r="AL100" s="97"/>
      <c r="AM100" s="1502"/>
    </row>
    <row r="101" spans="1:42" ht="18" customHeight="1" thickBot="1" x14ac:dyDescent="0.3">
      <c r="A101" s="271"/>
      <c r="B101" s="1668"/>
      <c r="C101" s="1872"/>
      <c r="D101" s="1668"/>
      <c r="E101" s="1668"/>
      <c r="F101" s="1668"/>
      <c r="G101" s="1667"/>
      <c r="H101" s="1668"/>
      <c r="I101" s="1670"/>
      <c r="J101" s="1952"/>
      <c r="K101" s="362">
        <v>6</v>
      </c>
      <c r="L101" s="362">
        <v>6</v>
      </c>
      <c r="M101" s="363">
        <v>6</v>
      </c>
      <c r="N101" s="1957"/>
      <c r="O101" s="362">
        <v>4</v>
      </c>
      <c r="P101" s="362">
        <v>4</v>
      </c>
      <c r="Q101" s="363">
        <v>4</v>
      </c>
      <c r="R101" s="1949"/>
      <c r="S101" s="265">
        <v>1</v>
      </c>
      <c r="T101" s="265">
        <v>1</v>
      </c>
      <c r="U101" s="266">
        <v>1</v>
      </c>
      <c r="V101" s="1342"/>
      <c r="W101" s="119"/>
      <c r="X101" s="30"/>
      <c r="Y101" s="37"/>
      <c r="Z101" s="1814"/>
      <c r="AA101" s="244"/>
      <c r="AB101" s="245"/>
      <c r="AC101" s="246"/>
      <c r="AD101" s="131"/>
      <c r="AE101" s="102"/>
      <c r="AF101" s="103"/>
      <c r="AG101" s="103"/>
      <c r="AH101" s="103"/>
      <c r="AI101" s="103"/>
      <c r="AJ101" s="103"/>
      <c r="AK101" s="103"/>
      <c r="AL101" s="103"/>
      <c r="AM101" s="1596"/>
    </row>
    <row r="102" spans="1:42" ht="18" customHeight="1" x14ac:dyDescent="0.25">
      <c r="A102" s="1868">
        <v>2</v>
      </c>
      <c r="B102" s="1867">
        <v>21</v>
      </c>
      <c r="C102" s="1675" t="s">
        <v>76</v>
      </c>
      <c r="D102" s="1663">
        <f>COUNT(K105,O105,S105,W105,AA105)</f>
        <v>4</v>
      </c>
      <c r="E102" s="1663">
        <f>COUNT(L105,P105,T105,X105,AB105)</f>
        <v>4</v>
      </c>
      <c r="F102" s="1663">
        <f>COUNT(M105,Q105,U105,Y105,AC105)</f>
        <v>4</v>
      </c>
      <c r="G102" s="1662">
        <f>SUM(K105,O105,S105,W105,AA105)</f>
        <v>13</v>
      </c>
      <c r="H102" s="1663">
        <f>SUM(L105,P105,T105,X105,AB105)</f>
        <v>13</v>
      </c>
      <c r="I102" s="1664">
        <f>SUM(M105,Q105,U105,Y105,AC105)</f>
        <v>15</v>
      </c>
      <c r="J102" s="1944">
        <v>1</v>
      </c>
      <c r="K102" s="1935"/>
      <c r="L102" s="1935"/>
      <c r="M102" s="1936"/>
      <c r="N102" s="1940">
        <v>2</v>
      </c>
      <c r="O102" s="1935"/>
      <c r="P102" s="1935"/>
      <c r="Q102" s="1936"/>
      <c r="R102" s="1937">
        <v>3</v>
      </c>
      <c r="S102" s="1824"/>
      <c r="T102" s="1825"/>
      <c r="U102" s="1826"/>
      <c r="V102" s="1271">
        <v>4</v>
      </c>
      <c r="W102" s="1380" t="s">
        <v>49</v>
      </c>
      <c r="X102" s="1381"/>
      <c r="Y102" s="1382"/>
      <c r="Z102" s="1271">
        <v>5</v>
      </c>
      <c r="AA102" s="1824"/>
      <c r="AB102" s="1825"/>
      <c r="AC102" s="1826"/>
      <c r="AD102" s="234"/>
      <c r="AE102" s="235"/>
      <c r="AF102" s="236"/>
      <c r="AG102" s="236"/>
      <c r="AH102" s="236"/>
      <c r="AI102" s="236"/>
      <c r="AJ102" s="236"/>
      <c r="AK102" s="237"/>
      <c r="AL102" s="237"/>
      <c r="AM102" s="1593" t="s">
        <v>113</v>
      </c>
    </row>
    <row r="103" spans="1:42" ht="18" customHeight="1" x14ac:dyDescent="0.25">
      <c r="A103" s="1869"/>
      <c r="B103" s="1779"/>
      <c r="C103" s="1442"/>
      <c r="D103" s="1409"/>
      <c r="E103" s="1409"/>
      <c r="F103" s="1409"/>
      <c r="G103" s="1438"/>
      <c r="H103" s="1409"/>
      <c r="I103" s="1410"/>
      <c r="J103" s="1945"/>
      <c r="K103" s="1222" t="s">
        <v>125</v>
      </c>
      <c r="L103" s="1222"/>
      <c r="M103" s="1223"/>
      <c r="N103" s="1941"/>
      <c r="O103" s="1929"/>
      <c r="P103" s="1930"/>
      <c r="Q103" s="1931"/>
      <c r="R103" s="1938"/>
      <c r="S103" s="1276"/>
      <c r="T103" s="1277"/>
      <c r="U103" s="1278"/>
      <c r="V103" s="1272"/>
      <c r="W103" s="1815" t="s">
        <v>49</v>
      </c>
      <c r="X103" s="1816"/>
      <c r="Y103" s="1817"/>
      <c r="Z103" s="1272"/>
      <c r="AA103" s="1276"/>
      <c r="AB103" s="1277"/>
      <c r="AC103" s="1278"/>
      <c r="AD103" s="57"/>
      <c r="AE103" s="96"/>
      <c r="AF103" s="97"/>
      <c r="AG103" s="97"/>
      <c r="AH103" s="97"/>
      <c r="AI103" s="97"/>
      <c r="AJ103" s="97"/>
      <c r="AK103" s="97"/>
      <c r="AL103" s="97"/>
      <c r="AM103" s="753"/>
    </row>
    <row r="104" spans="1:42" ht="18" customHeight="1" x14ac:dyDescent="0.25">
      <c r="A104" s="1869"/>
      <c r="B104" s="1779"/>
      <c r="C104" s="1442"/>
      <c r="D104" s="1409"/>
      <c r="E104" s="1409"/>
      <c r="F104" s="1409"/>
      <c r="G104" s="1438"/>
      <c r="H104" s="1409"/>
      <c r="I104" s="1410"/>
      <c r="J104" s="1945"/>
      <c r="K104" s="1307"/>
      <c r="L104" s="1307"/>
      <c r="M104" s="1308"/>
      <c r="N104" s="1941"/>
      <c r="O104" s="1307"/>
      <c r="P104" s="1307"/>
      <c r="Q104" s="1308"/>
      <c r="R104" s="1938"/>
      <c r="S104" s="1276"/>
      <c r="T104" s="1277"/>
      <c r="U104" s="1278"/>
      <c r="V104" s="1272"/>
      <c r="W104" s="1815" t="s">
        <v>33</v>
      </c>
      <c r="X104" s="1816"/>
      <c r="Y104" s="1817"/>
      <c r="Z104" s="1272"/>
      <c r="AA104" s="1276"/>
      <c r="AB104" s="1277"/>
      <c r="AC104" s="1278"/>
      <c r="AD104" s="57"/>
      <c r="AE104" s="96"/>
      <c r="AF104" s="97"/>
      <c r="AG104" s="97"/>
      <c r="AH104" s="97"/>
      <c r="AI104" s="97"/>
      <c r="AJ104" s="97"/>
      <c r="AK104" s="97"/>
      <c r="AL104" s="97"/>
      <c r="AM104" s="753"/>
    </row>
    <row r="105" spans="1:42" ht="18" customHeight="1" thickBot="1" x14ac:dyDescent="0.3">
      <c r="A105" s="1870"/>
      <c r="B105" s="1780"/>
      <c r="C105" s="1673"/>
      <c r="D105" s="1668"/>
      <c r="E105" s="1668"/>
      <c r="F105" s="1668"/>
      <c r="G105" s="1667"/>
      <c r="H105" s="1668"/>
      <c r="I105" s="1670"/>
      <c r="J105" s="1946"/>
      <c r="K105" s="30">
        <v>4</v>
      </c>
      <c r="L105" s="30">
        <v>4</v>
      </c>
      <c r="M105" s="37">
        <v>4</v>
      </c>
      <c r="N105" s="1942"/>
      <c r="O105" s="30">
        <v>4</v>
      </c>
      <c r="P105" s="30">
        <v>4</v>
      </c>
      <c r="Q105" s="37">
        <v>4</v>
      </c>
      <c r="R105" s="1939"/>
      <c r="S105" s="125">
        <v>4</v>
      </c>
      <c r="T105" s="42">
        <v>4</v>
      </c>
      <c r="U105" s="251">
        <v>4</v>
      </c>
      <c r="V105" s="1273"/>
      <c r="W105" s="267">
        <v>1</v>
      </c>
      <c r="X105" s="268">
        <v>1</v>
      </c>
      <c r="Y105" s="269">
        <v>3</v>
      </c>
      <c r="Z105" s="1273"/>
      <c r="AA105" s="125"/>
      <c r="AB105" s="42"/>
      <c r="AC105" s="251"/>
      <c r="AD105" s="131"/>
      <c r="AE105" s="102"/>
      <c r="AF105" s="103"/>
      <c r="AG105" s="103"/>
      <c r="AH105" s="103"/>
      <c r="AI105" s="103"/>
      <c r="AJ105" s="103"/>
      <c r="AK105" s="103"/>
      <c r="AL105" s="103"/>
      <c r="AM105" s="1594"/>
    </row>
    <row r="106" spans="1:42" ht="22.5" customHeight="1" x14ac:dyDescent="0.25">
      <c r="A106" s="1882" t="s">
        <v>28</v>
      </c>
      <c r="B106" s="1883"/>
      <c r="C106" s="1883"/>
      <c r="D106" s="1884">
        <f>SUM(D6:D105)</f>
        <v>95</v>
      </c>
      <c r="E106" s="1889">
        <f>SUM(E6:E105)</f>
        <v>95</v>
      </c>
      <c r="F106" s="1892">
        <f>SUM(F10:F105)</f>
        <v>95</v>
      </c>
      <c r="G106" s="1885">
        <f>SUM(G10:G105)</f>
        <v>541</v>
      </c>
      <c r="H106" s="1889">
        <f>SUM(H10:H105)</f>
        <v>541</v>
      </c>
      <c r="I106" s="1932">
        <f>SUM(I10:I105)</f>
        <v>547</v>
      </c>
      <c r="J106" s="1279">
        <f>K13+K21+K25+K29+K33+K37+K41++K53+K57+K61+K65+K69+K73+K81+K85+K89+K93+K97+K101+K105+K77+K49+K45+K17</f>
        <v>108</v>
      </c>
      <c r="K106" s="1279"/>
      <c r="L106" s="1279"/>
      <c r="M106" s="1280"/>
      <c r="N106" s="1279">
        <f>O13+O21+O25+O29+O33+O37+O41++O53+O57+O61+O65+O69+O73+O81+O85+O89+O93+O97+O101+O105+O77+O49+O45+O17</f>
        <v>129</v>
      </c>
      <c r="O106" s="1279"/>
      <c r="P106" s="1279"/>
      <c r="Q106" s="1280"/>
      <c r="R106" s="1279">
        <f>S13+S21+S25+S29+S33+S37+S41++S53+S57+S61+S65+S69+S73+S81+S89+S93+S97+S101+S105+AA97+S85+S77+S49+S45+S17</f>
        <v>108</v>
      </c>
      <c r="S106" s="1279"/>
      <c r="T106" s="1279"/>
      <c r="U106" s="1280"/>
      <c r="V106" s="1279">
        <f>W13+W21+W25+W29+W33+W37+W45++W53+W57+W61+W65+W73+W81+W89+W93+W85+W105+W101+W97+W77+W69+W49+W41+W17</f>
        <v>110</v>
      </c>
      <c r="W106" s="1279"/>
      <c r="X106" s="1279"/>
      <c r="Y106" s="1280"/>
      <c r="Z106" s="1279">
        <f>AA13+AA21+AA25+AA29+AA33+AA37+AA53+AA57+AA61+AA65+AA69+AA73+AA81+AA85+AA89+AA93+AA105+AA101+AA97+AA77+AA49+AA45+AA41+AA17</f>
        <v>86</v>
      </c>
      <c r="AA106" s="1279"/>
      <c r="AB106" s="1279"/>
      <c r="AC106" s="1280"/>
      <c r="AD106" s="309"/>
      <c r="AE106" s="310"/>
      <c r="AF106" s="311"/>
      <c r="AG106" s="311"/>
      <c r="AH106" s="309"/>
      <c r="AI106" s="309"/>
      <c r="AJ106" s="309"/>
      <c r="AK106" s="309"/>
      <c r="AL106" s="309"/>
      <c r="AM106" s="312"/>
    </row>
    <row r="107" spans="1:42" ht="18.75" customHeight="1" x14ac:dyDescent="0.25">
      <c r="A107" s="1882"/>
      <c r="B107" s="1883"/>
      <c r="C107" s="1883"/>
      <c r="D107" s="1884"/>
      <c r="E107" s="1890"/>
      <c r="F107" s="1892"/>
      <c r="G107" s="1885"/>
      <c r="H107" s="1890"/>
      <c r="I107" s="1933"/>
      <c r="J107" s="1274">
        <f>L13+L21+L25+L29+L33+L37+L41+L53+L57+L61+L65+L69+L73+L81+L85+L89+L93+L97+L101+L105+L77+L49+L45+L17</f>
        <v>108</v>
      </c>
      <c r="K107" s="1274"/>
      <c r="L107" s="1274"/>
      <c r="M107" s="1275"/>
      <c r="N107" s="1274">
        <f>P13+P21+P25+P29+P33+P37+P41+P53+P57+P61+P65+P69+P73+P81+P85+P89+P93+P97+P101+P105+P77+P49+P45+P17</f>
        <v>129</v>
      </c>
      <c r="O107" s="1274"/>
      <c r="P107" s="1274"/>
      <c r="Q107" s="1275"/>
      <c r="R107" s="1274">
        <f>T13+T21+T25+T29+T33+T37+T45+T53+T57+T61+T65+T69+T73+T81+T85+T89+T93+T97+T101+T105+AB97+T77+T49+T41+T17</f>
        <v>108</v>
      </c>
      <c r="S107" s="1274"/>
      <c r="T107" s="1274"/>
      <c r="U107" s="1275"/>
      <c r="V107" s="1274">
        <f>X13+X21+X25+X29+X33+X37+X53+X57+X61+X65+X45+X73+X81+X85+X89+X93+X105+X101+X97+X77+X69+X49+X41+X17</f>
        <v>110</v>
      </c>
      <c r="W107" s="1274"/>
      <c r="X107" s="1274"/>
      <c r="Y107" s="1275"/>
      <c r="Z107" s="1274">
        <f>AB13+AB21+AB25+AB29+AB33+AB37+AB53+AB57+AB61+AB65+AB69+AB73+AB81+AB85+AB89+AB93+AB105+AB101+AB97+AB77+AB49+AB45+AB41+AB17</f>
        <v>86</v>
      </c>
      <c r="AA107" s="1274"/>
      <c r="AB107" s="1274"/>
      <c r="AC107" s="1275"/>
      <c r="AD107" s="313"/>
      <c r="AE107" s="314"/>
      <c r="AF107" s="315"/>
      <c r="AG107" s="315"/>
      <c r="AH107" s="316"/>
      <c r="AI107" s="316"/>
      <c r="AJ107" s="316"/>
      <c r="AK107" s="317"/>
      <c r="AL107" s="316"/>
      <c r="AM107" s="318"/>
    </row>
    <row r="108" spans="1:42" ht="18.75" customHeight="1" thickBot="1" x14ac:dyDescent="0.3">
      <c r="A108" s="1882"/>
      <c r="B108" s="1883"/>
      <c r="C108" s="1883"/>
      <c r="D108" s="1884"/>
      <c r="E108" s="1891"/>
      <c r="F108" s="1892"/>
      <c r="G108" s="1885"/>
      <c r="H108" s="1891"/>
      <c r="I108" s="1934"/>
      <c r="J108" s="1279">
        <f>M13+M21+M25+M29+M33+M37+M41+M53+M57+M61+M65+M69+M73+M81+M85+M89+M93+M97+M101+M105+M77+M49+M45+M17</f>
        <v>108</v>
      </c>
      <c r="K108" s="1279"/>
      <c r="L108" s="1279"/>
      <c r="M108" s="1280"/>
      <c r="N108" s="1279">
        <f>Q13+Q21+Q25+Q29+Q33+Q37+Q41+Q53+Q57+Q61+Q65+Q69+Q73+Q81+Q85+Q89+Q93+Q97+Q101+Q105+Q77+Q49+Q45+Q17</f>
        <v>130</v>
      </c>
      <c r="O108" s="1279"/>
      <c r="P108" s="1279"/>
      <c r="Q108" s="1280"/>
      <c r="R108" s="1279">
        <f>U13+U21+U25+U29+U33+U37+U45+U53+U57+U61+U65+U69+U73+U81+U85+U89+U93+U97+U101+U105+AC97+U77+U49+U41+U17</f>
        <v>107</v>
      </c>
      <c r="S108" s="1279"/>
      <c r="T108" s="1279"/>
      <c r="U108" s="1280"/>
      <c r="V108" s="1279">
        <f>Y13+Y21+Y25+Y29+Y33+Y37+Y53+Y57+Y61+Y65+Y45+Y73+Y81+Y85+Y89+Y93+Y105+Y101+Y97+Y77+Y69+Y49+Y41+Y17</f>
        <v>115</v>
      </c>
      <c r="W108" s="1279"/>
      <c r="X108" s="1279"/>
      <c r="Y108" s="1280"/>
      <c r="Z108" s="1279">
        <f>AC13+AC21+AC25+AC29+AC33+AC37+AC53+AC57+AC61+AC65+AC69+AC73+AC81+AC85+AC89+AC93+AC105+AC101+AC97+AC77+AC49+AC45+AC41+AC17</f>
        <v>87</v>
      </c>
      <c r="AA108" s="1279"/>
      <c r="AB108" s="1279"/>
      <c r="AC108" s="1280"/>
      <c r="AD108" s="309"/>
      <c r="AE108" s="319"/>
      <c r="AF108" s="320"/>
      <c r="AG108" s="311"/>
      <c r="AH108" s="320"/>
      <c r="AI108" s="320"/>
      <c r="AJ108" s="320"/>
      <c r="AK108" s="320"/>
      <c r="AL108" s="320"/>
      <c r="AM108" s="321"/>
    </row>
    <row r="109" spans="1:42" ht="20.25" customHeight="1" thickTop="1" x14ac:dyDescent="0.25">
      <c r="A109" s="1847" t="s">
        <v>19</v>
      </c>
      <c r="B109" s="1848"/>
      <c r="C109" s="1848"/>
      <c r="D109" s="1853">
        <f>SUM(D106,'1학기'!D103:D105)</f>
        <v>190</v>
      </c>
      <c r="E109" s="1856">
        <f>SUM(E106,'1학기'!E103:E105)</f>
        <v>190</v>
      </c>
      <c r="F109" s="1873">
        <f>SUM(F106,'1학기'!F103:F105)</f>
        <v>190</v>
      </c>
      <c r="G109" s="1876">
        <f>SUM(G106,'1학기'!G103:G105)</f>
        <v>1082</v>
      </c>
      <c r="H109" s="1879">
        <f>SUM(H106,'1학기'!H103:H105)</f>
        <v>1082</v>
      </c>
      <c r="I109" s="1886">
        <f>SUM(I106,'1학기'!I103:I105)</f>
        <v>1093</v>
      </c>
      <c r="J109" s="1841">
        <f>J106+'1학기'!J103:M103</f>
        <v>206</v>
      </c>
      <c r="K109" s="1842"/>
      <c r="L109" s="1842"/>
      <c r="M109" s="1842"/>
      <c r="N109" s="1841">
        <f>N106+'1학기'!N103:Q103</f>
        <v>250</v>
      </c>
      <c r="O109" s="1842"/>
      <c r="P109" s="1842"/>
      <c r="Q109" s="1842"/>
      <c r="R109" s="1841">
        <f>R106+'1학기'!R103:U103</f>
        <v>213</v>
      </c>
      <c r="S109" s="1842"/>
      <c r="T109" s="1842"/>
      <c r="U109" s="1842"/>
      <c r="V109" s="1841">
        <f>V106+'1학기'!V103:Y103</f>
        <v>234</v>
      </c>
      <c r="W109" s="1842"/>
      <c r="X109" s="1842"/>
      <c r="Y109" s="1842"/>
      <c r="Z109" s="1841">
        <f>Z106+'1학기'!Z103:AC103</f>
        <v>186</v>
      </c>
      <c r="AA109" s="1842"/>
      <c r="AB109" s="1842"/>
      <c r="AC109" s="1842"/>
      <c r="AD109" s="284"/>
      <c r="AE109" s="285"/>
      <c r="AF109" s="286"/>
      <c r="AG109" s="286"/>
      <c r="AH109" s="286"/>
      <c r="AI109" s="286"/>
      <c r="AJ109" s="286"/>
      <c r="AK109" s="286"/>
      <c r="AL109" s="286"/>
      <c r="AM109" s="287"/>
    </row>
    <row r="110" spans="1:42" ht="20.25" customHeight="1" x14ac:dyDescent="0.25">
      <c r="A110" s="1849"/>
      <c r="B110" s="1850"/>
      <c r="C110" s="1850"/>
      <c r="D110" s="1854"/>
      <c r="E110" s="1857"/>
      <c r="F110" s="1874"/>
      <c r="G110" s="1877"/>
      <c r="H110" s="1880"/>
      <c r="I110" s="1887"/>
      <c r="J110" s="1843">
        <f>J107+'1학기'!J104:M104</f>
        <v>206</v>
      </c>
      <c r="K110" s="1844"/>
      <c r="L110" s="1844"/>
      <c r="M110" s="1844"/>
      <c r="N110" s="1843">
        <f>N107+'1학기'!N104:Q104</f>
        <v>250</v>
      </c>
      <c r="O110" s="1844"/>
      <c r="P110" s="1844"/>
      <c r="Q110" s="1844"/>
      <c r="R110" s="1843">
        <f>R107+'1학기'!R104:U104</f>
        <v>213</v>
      </c>
      <c r="S110" s="1844"/>
      <c r="T110" s="1844"/>
      <c r="U110" s="1844"/>
      <c r="V110" s="1843">
        <f>V107+'1학기'!V104:Y104</f>
        <v>234</v>
      </c>
      <c r="W110" s="1844"/>
      <c r="X110" s="1844"/>
      <c r="Y110" s="1844"/>
      <c r="Z110" s="1843">
        <f>Z107+'1학기'!Z104:AC104</f>
        <v>186</v>
      </c>
      <c r="AA110" s="1844"/>
      <c r="AB110" s="1844"/>
      <c r="AC110" s="1844"/>
      <c r="AD110" s="288"/>
      <c r="AE110" s="289"/>
      <c r="AF110" s="290"/>
      <c r="AG110" s="290"/>
      <c r="AH110" s="290"/>
      <c r="AI110" s="290"/>
      <c r="AJ110" s="290"/>
      <c r="AK110" s="290"/>
      <c r="AL110" s="291"/>
      <c r="AM110" s="292"/>
      <c r="AP110" s="394"/>
    </row>
    <row r="111" spans="1:42" ht="20.25" customHeight="1" thickBot="1" x14ac:dyDescent="0.3">
      <c r="A111" s="1851"/>
      <c r="B111" s="1852"/>
      <c r="C111" s="1852"/>
      <c r="D111" s="1855"/>
      <c r="E111" s="1858"/>
      <c r="F111" s="1875"/>
      <c r="G111" s="1878"/>
      <c r="H111" s="1881"/>
      <c r="I111" s="1888"/>
      <c r="J111" s="1845">
        <f>J108+'1학기'!J105:M105</f>
        <v>208</v>
      </c>
      <c r="K111" s="1846"/>
      <c r="L111" s="1846"/>
      <c r="M111" s="1846"/>
      <c r="N111" s="1845">
        <f>N108+'1학기'!N105:Q105</f>
        <v>253</v>
      </c>
      <c r="O111" s="1846"/>
      <c r="P111" s="1846"/>
      <c r="Q111" s="1846"/>
      <c r="R111" s="1845">
        <f>R108+'1학기'!R105:U105</f>
        <v>214</v>
      </c>
      <c r="S111" s="1846"/>
      <c r="T111" s="1846"/>
      <c r="U111" s="1846"/>
      <c r="V111" s="1845">
        <f>V108+'1학기'!V105:Y105</f>
        <v>241</v>
      </c>
      <c r="W111" s="1846"/>
      <c r="X111" s="1846"/>
      <c r="Y111" s="1846"/>
      <c r="Z111" s="1845">
        <f>Z108+'1학기'!Z105:AC105</f>
        <v>189</v>
      </c>
      <c r="AA111" s="1846"/>
      <c r="AB111" s="1846"/>
      <c r="AC111" s="1846"/>
      <c r="AD111" s="293"/>
      <c r="AE111" s="294"/>
      <c r="AF111" s="295"/>
      <c r="AG111" s="295"/>
      <c r="AH111" s="295"/>
      <c r="AI111" s="296"/>
      <c r="AJ111" s="295"/>
      <c r="AK111" s="295"/>
      <c r="AL111" s="297"/>
      <c r="AM111" s="298"/>
    </row>
    <row r="112" spans="1:42" ht="15" thickBot="1" x14ac:dyDescent="0.3"/>
    <row r="113" spans="1:39" s="331" customFormat="1" ht="19.2" x14ac:dyDescent="0.25">
      <c r="A113" s="1230" t="s">
        <v>107</v>
      </c>
      <c r="B113" s="1231"/>
      <c r="C113" s="1231"/>
      <c r="D113" s="388"/>
      <c r="E113" s="388"/>
      <c r="F113" s="388"/>
      <c r="G113" s="388" t="s">
        <v>103</v>
      </c>
      <c r="H113" s="388"/>
      <c r="I113" s="389"/>
      <c r="J113" s="430">
        <f>COUNT(K13,K17,K21,K29,K33,K37,K45,K49,K41,K57,K61,K65,K69,K73,K77,K81,K85,K93,K97,K101,K105)</f>
        <v>17</v>
      </c>
      <c r="K113" s="431"/>
      <c r="L113" s="431"/>
      <c r="M113" s="432"/>
      <c r="N113" s="430">
        <f>COUNT(O13,O17,O21,O25,O29,O33,O37,O41,O49,O57,O61,O65,O69,O73,O77,O81,O85,O93,O97,O101,O105)</f>
        <v>19</v>
      </c>
      <c r="O113" s="431"/>
      <c r="P113" s="431"/>
      <c r="Q113" s="432"/>
      <c r="R113" s="433">
        <f>COUNT(S13,S17,S21,S25,S29,S33,S37,S41,S45,S49,S57,S61,S65,S69,S77,S85,S93,S105)</f>
        <v>16</v>
      </c>
      <c r="S113" s="433"/>
      <c r="T113" s="433"/>
      <c r="U113" s="433"/>
      <c r="V113" s="434">
        <f>COUNT(W13,W17,W21,W25,W29,W33,W41,W49,W45,W57,W61,W65,W69,W77,W81,W85,W93,W97,W101)</f>
        <v>15</v>
      </c>
      <c r="W113" s="433"/>
      <c r="X113" s="433"/>
      <c r="Y113" s="435"/>
      <c r="Z113" s="433">
        <f>COUNT(AA13,AA17,AA21,AA25,AA29,AA33,AA41,AA37,AA49,AA53,AA45,AA61,AA65,AA69,AA73,AA77,AA81,AA85,AA93,AA97,AA101)</f>
        <v>14</v>
      </c>
      <c r="AA113" s="433"/>
      <c r="AB113" s="433"/>
      <c r="AC113" s="436"/>
      <c r="AD113" s="333"/>
      <c r="AE113" s="333"/>
      <c r="AF113" s="333"/>
      <c r="AG113" s="333"/>
      <c r="AH113" s="333"/>
      <c r="AI113" s="333"/>
      <c r="AJ113" s="333"/>
      <c r="AK113" s="333"/>
      <c r="AL113" s="333"/>
      <c r="AM113" s="334"/>
    </row>
    <row r="114" spans="1:39" s="331" customFormat="1" ht="19.2" x14ac:dyDescent="0.25">
      <c r="A114" s="1232"/>
      <c r="B114" s="1233"/>
      <c r="C114" s="1233"/>
      <c r="D114" s="390"/>
      <c r="E114" s="390"/>
      <c r="F114" s="390"/>
      <c r="G114" s="390"/>
      <c r="H114" s="390" t="s">
        <v>104</v>
      </c>
      <c r="I114" s="391"/>
      <c r="J114" s="437">
        <f>COUNT(L13,L17,L21,L25,L29,L33,L37,L41,L49,L57,L61,L65,L69,L73,L77,L81,L85,L93,L97,L101,L105)</f>
        <v>17</v>
      </c>
      <c r="K114" s="438"/>
      <c r="L114" s="438"/>
      <c r="M114" s="439"/>
      <c r="N114" s="437">
        <f>COUNT(P13,P17,P21,P25,P29,P33,P37,P41,P49,P57,P61,P65,P69,P73,P77,P81,P85,P93,P97,P101,P105)</f>
        <v>19</v>
      </c>
      <c r="O114" s="438"/>
      <c r="P114" s="438"/>
      <c r="Q114" s="439"/>
      <c r="R114" s="440">
        <f>COUNT(T13,T17,T25,T29,T33,T37,T41,T45,T49,T57,T61,T65,T69,T77,T81,T85,T93,T105)</f>
        <v>16</v>
      </c>
      <c r="S114" s="440"/>
      <c r="T114" s="440"/>
      <c r="U114" s="440"/>
      <c r="V114" s="441">
        <f>COUNT(X13,X17,X21,X25,X29,X33,X41,X49,X45,X57,X61,X65,X69,X77,X81,X85,X93,X97)</f>
        <v>15</v>
      </c>
      <c r="W114" s="440"/>
      <c r="X114" s="440"/>
      <c r="Y114" s="442"/>
      <c r="Z114" s="440">
        <f>COUNT(AB13,AB17,AB21,AB25,AB29,AB33,AB37,AB41,AB49,AB45,AB57,AB61,AB65,AB69,AB73,AB77,AB81,AB85,AB93,AB97,AB101,AB105)</f>
        <v>14</v>
      </c>
      <c r="AA114" s="440"/>
      <c r="AB114" s="440"/>
      <c r="AC114" s="443"/>
      <c r="AD114" s="332"/>
      <c r="AE114" s="332"/>
      <c r="AF114" s="332"/>
      <c r="AG114" s="332"/>
      <c r="AH114" s="332"/>
      <c r="AI114" s="332"/>
      <c r="AJ114" s="332"/>
      <c r="AK114" s="332"/>
      <c r="AL114" s="332"/>
      <c r="AM114" s="335"/>
    </row>
    <row r="115" spans="1:39" s="331" customFormat="1" ht="19.8" thickBot="1" x14ac:dyDescent="0.3">
      <c r="A115" s="1234"/>
      <c r="B115" s="1235"/>
      <c r="C115" s="1235"/>
      <c r="D115" s="392"/>
      <c r="E115" s="392"/>
      <c r="F115" s="392"/>
      <c r="G115" s="392"/>
      <c r="H115" s="392"/>
      <c r="I115" s="393" t="s">
        <v>105</v>
      </c>
      <c r="J115" s="444">
        <f>COUNT(M13,M17,M21,M25,M29,M33,M37,M41,M49,M57,M61,M65,M69,M73,M77,M81,M85,M93,M97,M101,M105,M89)</f>
        <v>18</v>
      </c>
      <c r="K115" s="445"/>
      <c r="L115" s="445"/>
      <c r="M115" s="446"/>
      <c r="N115" s="444">
        <f>COUNT(Q13,Q17,Q21,Q25,Q29,Q33,Q37,Q41,Q49,Q57,Q61,Q65,Q69,Q73,Q77,Q81,Q85,Q93,Q97,Q101,Q105,Q89)</f>
        <v>20</v>
      </c>
      <c r="O115" s="445"/>
      <c r="P115" s="445"/>
      <c r="Q115" s="446"/>
      <c r="R115" s="447">
        <f>COUNT(U13,U17,U25,U29,U33,U37,U45,U49,U41,U57,U61,U65,U69,U77,U81,U85,U93,U105,U89)</f>
        <v>17</v>
      </c>
      <c r="S115" s="447"/>
      <c r="T115" s="447"/>
      <c r="U115" s="447"/>
      <c r="V115" s="448">
        <f>COUNT(Y13,Y17,Y21,Y25,Y29,Y33,Y41,Y45,Y49,Y57,Y61,Y65,Y69,Y77,Y81,Y85,Y89,Y93,Y97)</f>
        <v>16</v>
      </c>
      <c r="W115" s="447"/>
      <c r="X115" s="447"/>
      <c r="Y115" s="449"/>
      <c r="Z115" s="447">
        <f>COUNT(AC13,AC17,AC21,AC25,AC29,AC33,AC37,AC41,AC49,AC45,AC57,AC61,AC65,AC69,AC73,AC77,AC81,AC89,AC93,AC85,AC97)</f>
        <v>15</v>
      </c>
      <c r="AA115" s="447"/>
      <c r="AB115" s="447"/>
      <c r="AC115" s="450"/>
      <c r="AD115" s="336"/>
      <c r="AE115" s="336"/>
      <c r="AF115" s="336"/>
      <c r="AG115" s="336"/>
      <c r="AH115" s="336"/>
      <c r="AI115" s="336"/>
      <c r="AJ115" s="336"/>
      <c r="AK115" s="336"/>
      <c r="AL115" s="336"/>
      <c r="AM115" s="337"/>
    </row>
  </sheetData>
  <mergeCells count="804">
    <mergeCell ref="O75:Q75"/>
    <mergeCell ref="S76:U76"/>
    <mergeCell ref="W76:Y76"/>
    <mergeCell ref="O55:Q55"/>
    <mergeCell ref="S70:U72"/>
    <mergeCell ref="S66:U66"/>
    <mergeCell ref="S67:U67"/>
    <mergeCell ref="S68:U68"/>
    <mergeCell ref="W59:Y59"/>
    <mergeCell ref="O74:Q74"/>
    <mergeCell ref="S74:U74"/>
    <mergeCell ref="W74:Y74"/>
    <mergeCell ref="V62:V65"/>
    <mergeCell ref="W58:Y58"/>
    <mergeCell ref="K47:M47"/>
    <mergeCell ref="O48:Q48"/>
    <mergeCell ref="N46:N49"/>
    <mergeCell ref="O46:Q46"/>
    <mergeCell ref="O58:Q60"/>
    <mergeCell ref="R50:R53"/>
    <mergeCell ref="S50:U50"/>
    <mergeCell ref="S51:U51"/>
    <mergeCell ref="S52:U52"/>
    <mergeCell ref="S59:U59"/>
    <mergeCell ref="S60:U60"/>
    <mergeCell ref="O62:Q62"/>
    <mergeCell ref="W64:Y64"/>
    <mergeCell ref="S27:U27"/>
    <mergeCell ref="W34:Y34"/>
    <mergeCell ref="W35:Y35"/>
    <mergeCell ref="W36:Y36"/>
    <mergeCell ref="S38:U38"/>
    <mergeCell ref="S39:U39"/>
    <mergeCell ref="S62:U62"/>
    <mergeCell ref="R38:R41"/>
    <mergeCell ref="R42:R45"/>
    <mergeCell ref="W50:Y50"/>
    <mergeCell ref="W52:Y52"/>
    <mergeCell ref="H54:H57"/>
    <mergeCell ref="I54:I57"/>
    <mergeCell ref="J54:J57"/>
    <mergeCell ref="K54:M54"/>
    <mergeCell ref="N54:N57"/>
    <mergeCell ref="W27:Y27"/>
    <mergeCell ref="V26:V29"/>
    <mergeCell ref="N42:N45"/>
    <mergeCell ref="O42:Q42"/>
    <mergeCell ref="K51:M51"/>
    <mergeCell ref="H30:H33"/>
    <mergeCell ref="K31:M31"/>
    <mergeCell ref="V30:V33"/>
    <mergeCell ref="O31:Q31"/>
    <mergeCell ref="O30:Q30"/>
    <mergeCell ref="W32:Y32"/>
    <mergeCell ref="J30:J33"/>
    <mergeCell ref="K32:M32"/>
    <mergeCell ref="K30:M30"/>
    <mergeCell ref="N30:N33"/>
    <mergeCell ref="S40:U40"/>
    <mergeCell ref="V38:V41"/>
    <mergeCell ref="S43:U43"/>
    <mergeCell ref="K55:M55"/>
    <mergeCell ref="H74:H77"/>
    <mergeCell ref="I74:I77"/>
    <mergeCell ref="J74:J77"/>
    <mergeCell ref="J70:J73"/>
    <mergeCell ref="J58:J61"/>
    <mergeCell ref="K70:M70"/>
    <mergeCell ref="N70:N73"/>
    <mergeCell ref="K72:M72"/>
    <mergeCell ref="K66:M66"/>
    <mergeCell ref="K68:M68"/>
    <mergeCell ref="K67:M67"/>
    <mergeCell ref="K71:M71"/>
    <mergeCell ref="K76:M76"/>
    <mergeCell ref="K74:M74"/>
    <mergeCell ref="K75:M75"/>
    <mergeCell ref="K64:M64"/>
    <mergeCell ref="K62:M62"/>
    <mergeCell ref="N62:N65"/>
    <mergeCell ref="R70:R73"/>
    <mergeCell ref="O56:Q56"/>
    <mergeCell ref="W103:Y103"/>
    <mergeCell ref="O94:Q94"/>
    <mergeCell ref="J38:J41"/>
    <mergeCell ref="N38:N41"/>
    <mergeCell ref="O51:Q51"/>
    <mergeCell ref="K48:M48"/>
    <mergeCell ref="J46:J49"/>
    <mergeCell ref="N50:N53"/>
    <mergeCell ref="K46:M46"/>
    <mergeCell ref="K44:M44"/>
    <mergeCell ref="K42:M42"/>
    <mergeCell ref="K43:M43"/>
    <mergeCell ref="O47:Q47"/>
    <mergeCell ref="W75:Y75"/>
    <mergeCell ref="R58:R61"/>
    <mergeCell ref="N74:N77"/>
    <mergeCell ref="R74:R77"/>
    <mergeCell ref="J42:J45"/>
    <mergeCell ref="J50:J53"/>
    <mergeCell ref="K56:M56"/>
    <mergeCell ref="K39:M39"/>
    <mergeCell ref="O39:Q39"/>
    <mergeCell ref="O70:Q70"/>
    <mergeCell ref="O72:Q72"/>
    <mergeCell ref="O67:Q67"/>
    <mergeCell ref="W79:Y79"/>
    <mergeCell ref="W78:Y78"/>
    <mergeCell ref="S63:U63"/>
    <mergeCell ref="S64:U64"/>
    <mergeCell ref="F86:F89"/>
    <mergeCell ref="G86:G89"/>
    <mergeCell ref="V82:V85"/>
    <mergeCell ref="W82:Y82"/>
    <mergeCell ref="W83:Y83"/>
    <mergeCell ref="W84:Y84"/>
    <mergeCell ref="K88:M88"/>
    <mergeCell ref="N86:N89"/>
    <mergeCell ref="H86:H89"/>
    <mergeCell ref="I86:I89"/>
    <mergeCell ref="O86:Q86"/>
    <mergeCell ref="O88:Q88"/>
    <mergeCell ref="J86:J89"/>
    <mergeCell ref="K86:M86"/>
    <mergeCell ref="W87:Y87"/>
    <mergeCell ref="S83:U83"/>
    <mergeCell ref="H82:H85"/>
    <mergeCell ref="I82:I85"/>
    <mergeCell ref="S82:U82"/>
    <mergeCell ref="F98:F101"/>
    <mergeCell ref="G98:G101"/>
    <mergeCell ref="I102:I105"/>
    <mergeCell ref="K102:M102"/>
    <mergeCell ref="K104:M104"/>
    <mergeCell ref="J102:J105"/>
    <mergeCell ref="F90:F93"/>
    <mergeCell ref="G90:G93"/>
    <mergeCell ref="R98:R101"/>
    <mergeCell ref="K98:M98"/>
    <mergeCell ref="J98:J101"/>
    <mergeCell ref="K99:M99"/>
    <mergeCell ref="K100:M100"/>
    <mergeCell ref="O98:Q98"/>
    <mergeCell ref="N98:N101"/>
    <mergeCell ref="O99:Q99"/>
    <mergeCell ref="G102:G105"/>
    <mergeCell ref="H102:H105"/>
    <mergeCell ref="H98:H101"/>
    <mergeCell ref="I98:I101"/>
    <mergeCell ref="O100:Q100"/>
    <mergeCell ref="F102:F105"/>
    <mergeCell ref="J107:M107"/>
    <mergeCell ref="O103:Q103"/>
    <mergeCell ref="H106:H108"/>
    <mergeCell ref="I106:I108"/>
    <mergeCell ref="O102:Q102"/>
    <mergeCell ref="R102:R105"/>
    <mergeCell ref="J108:M108"/>
    <mergeCell ref="K103:M103"/>
    <mergeCell ref="N102:N105"/>
    <mergeCell ref="O104:Q104"/>
    <mergeCell ref="F94:F97"/>
    <mergeCell ref="G94:G97"/>
    <mergeCell ref="G74:G77"/>
    <mergeCell ref="K92:M92"/>
    <mergeCell ref="K91:M91"/>
    <mergeCell ref="A42:A61"/>
    <mergeCell ref="A62:A81"/>
    <mergeCell ref="G70:G73"/>
    <mergeCell ref="H70:H73"/>
    <mergeCell ref="I70:I73"/>
    <mergeCell ref="H90:H93"/>
    <mergeCell ref="I90:I93"/>
    <mergeCell ref="G78:G81"/>
    <mergeCell ref="H78:H81"/>
    <mergeCell ref="I78:I81"/>
    <mergeCell ref="J78:J81"/>
    <mergeCell ref="B82:B85"/>
    <mergeCell ref="C82:C85"/>
    <mergeCell ref="D82:D85"/>
    <mergeCell ref="E82:E85"/>
    <mergeCell ref="F82:F85"/>
    <mergeCell ref="G82:G85"/>
    <mergeCell ref="J82:J85"/>
    <mergeCell ref="J90:J93"/>
    <mergeCell ref="A6:A21"/>
    <mergeCell ref="AA10:AC10"/>
    <mergeCell ref="AA11:AC11"/>
    <mergeCell ref="AA67:AC67"/>
    <mergeCell ref="J66:J69"/>
    <mergeCell ref="N66:N69"/>
    <mergeCell ref="O66:Q66"/>
    <mergeCell ref="R66:R69"/>
    <mergeCell ref="O68:Q68"/>
    <mergeCell ref="AA68:AC68"/>
    <mergeCell ref="Z66:Z69"/>
    <mergeCell ref="AA66:AC66"/>
    <mergeCell ref="R62:R65"/>
    <mergeCell ref="S58:U58"/>
    <mergeCell ref="V58:V61"/>
    <mergeCell ref="B66:B69"/>
    <mergeCell ref="C66:C69"/>
    <mergeCell ref="D66:D69"/>
    <mergeCell ref="E66:E69"/>
    <mergeCell ref="F66:F69"/>
    <mergeCell ref="G66:G69"/>
    <mergeCell ref="H66:H69"/>
    <mergeCell ref="I66:I69"/>
    <mergeCell ref="B62:B65"/>
    <mergeCell ref="F109:F111"/>
    <mergeCell ref="G109:G111"/>
    <mergeCell ref="H109:H111"/>
    <mergeCell ref="R108:U108"/>
    <mergeCell ref="J106:M106"/>
    <mergeCell ref="A106:C108"/>
    <mergeCell ref="D106:D108"/>
    <mergeCell ref="G106:G108"/>
    <mergeCell ref="I109:I111"/>
    <mergeCell ref="J109:M109"/>
    <mergeCell ref="N109:Q109"/>
    <mergeCell ref="N110:Q110"/>
    <mergeCell ref="R110:U110"/>
    <mergeCell ref="R109:U109"/>
    <mergeCell ref="E106:E108"/>
    <mergeCell ref="F106:F108"/>
    <mergeCell ref="N106:Q106"/>
    <mergeCell ref="R106:U106"/>
    <mergeCell ref="J111:M111"/>
    <mergeCell ref="N111:Q111"/>
    <mergeCell ref="R111:U111"/>
    <mergeCell ref="N108:Q108"/>
    <mergeCell ref="N107:Q107"/>
    <mergeCell ref="J110:M110"/>
    <mergeCell ref="A109:C111"/>
    <mergeCell ref="D109:D111"/>
    <mergeCell ref="E109:E111"/>
    <mergeCell ref="C86:C89"/>
    <mergeCell ref="D86:D89"/>
    <mergeCell ref="E86:E89"/>
    <mergeCell ref="B90:B93"/>
    <mergeCell ref="C90:C93"/>
    <mergeCell ref="D90:D93"/>
    <mergeCell ref="E90:E93"/>
    <mergeCell ref="B94:B97"/>
    <mergeCell ref="C94:C97"/>
    <mergeCell ref="D94:D97"/>
    <mergeCell ref="E94:E97"/>
    <mergeCell ref="D98:D101"/>
    <mergeCell ref="E98:E101"/>
    <mergeCell ref="B102:B105"/>
    <mergeCell ref="C102:C105"/>
    <mergeCell ref="A102:A105"/>
    <mergeCell ref="B98:B101"/>
    <mergeCell ref="C98:C101"/>
    <mergeCell ref="B86:B89"/>
    <mergeCell ref="D102:D105"/>
    <mergeCell ref="E102:E105"/>
    <mergeCell ref="Z109:AC109"/>
    <mergeCell ref="V110:Y110"/>
    <mergeCell ref="Z110:AC110"/>
    <mergeCell ref="V109:Y109"/>
    <mergeCell ref="V111:Y111"/>
    <mergeCell ref="Z111:AC111"/>
    <mergeCell ref="V108:Y108"/>
    <mergeCell ref="Z108:AC108"/>
    <mergeCell ref="V107:Y107"/>
    <mergeCell ref="Z107:AC107"/>
    <mergeCell ref="Z106:AC106"/>
    <mergeCell ref="AA99:AC99"/>
    <mergeCell ref="AA100:AC100"/>
    <mergeCell ref="AA98:AC98"/>
    <mergeCell ref="Z98:Z101"/>
    <mergeCell ref="W104:Y104"/>
    <mergeCell ref="R90:R93"/>
    <mergeCell ref="V90:V93"/>
    <mergeCell ref="Z90:Z93"/>
    <mergeCell ref="Z102:Z105"/>
    <mergeCell ref="AA104:AC104"/>
    <mergeCell ref="AA102:AC102"/>
    <mergeCell ref="AA94:AC94"/>
    <mergeCell ref="AA96:AC96"/>
    <mergeCell ref="S104:U104"/>
    <mergeCell ref="S102:U102"/>
    <mergeCell ref="V98:V101"/>
    <mergeCell ref="W98:Y98"/>
    <mergeCell ref="W99:Y99"/>
    <mergeCell ref="W100:Y100"/>
    <mergeCell ref="S98:U98"/>
    <mergeCell ref="S99:U99"/>
    <mergeCell ref="S100:U100"/>
    <mergeCell ref="AA95:AC95"/>
    <mergeCell ref="K87:M87"/>
    <mergeCell ref="O87:Q87"/>
    <mergeCell ref="S87:U87"/>
    <mergeCell ref="K83:M83"/>
    <mergeCell ref="S84:U84"/>
    <mergeCell ref="S80:U80"/>
    <mergeCell ref="N82:N85"/>
    <mergeCell ref="R82:R85"/>
    <mergeCell ref="O82:Q82"/>
    <mergeCell ref="O83:Q83"/>
    <mergeCell ref="O84:Q84"/>
    <mergeCell ref="K82:M82"/>
    <mergeCell ref="K84:M84"/>
    <mergeCell ref="S86:U86"/>
    <mergeCell ref="R86:R89"/>
    <mergeCell ref="N78:N81"/>
    <mergeCell ref="K80:M80"/>
    <mergeCell ref="K79:M79"/>
    <mergeCell ref="K78:M78"/>
    <mergeCell ref="N90:N93"/>
    <mergeCell ref="W92:Y92"/>
    <mergeCell ref="W90:Y90"/>
    <mergeCell ref="O90:Q90"/>
    <mergeCell ref="O91:Q91"/>
    <mergeCell ref="O92:Q92"/>
    <mergeCell ref="S92:U92"/>
    <mergeCell ref="K90:M90"/>
    <mergeCell ref="W91:Y91"/>
    <mergeCell ref="C70:C73"/>
    <mergeCell ref="D70:D73"/>
    <mergeCell ref="E70:E73"/>
    <mergeCell ref="F70:F73"/>
    <mergeCell ref="B78:B81"/>
    <mergeCell ref="C78:C81"/>
    <mergeCell ref="D78:D81"/>
    <mergeCell ref="E78:E81"/>
    <mergeCell ref="F78:F81"/>
    <mergeCell ref="B74:B77"/>
    <mergeCell ref="C74:C77"/>
    <mergeCell ref="D74:D77"/>
    <mergeCell ref="E74:E77"/>
    <mergeCell ref="F74:F77"/>
    <mergeCell ref="B70:B73"/>
    <mergeCell ref="C62:C65"/>
    <mergeCell ref="G62:G65"/>
    <mergeCell ref="H62:H65"/>
    <mergeCell ref="I62:I65"/>
    <mergeCell ref="J62:J65"/>
    <mergeCell ref="D62:D65"/>
    <mergeCell ref="E62:E65"/>
    <mergeCell ref="F62:F65"/>
    <mergeCell ref="N58:N61"/>
    <mergeCell ref="K58:M58"/>
    <mergeCell ref="K60:M60"/>
    <mergeCell ref="K59:M59"/>
    <mergeCell ref="H58:H61"/>
    <mergeCell ref="I58:I61"/>
    <mergeCell ref="K63:M63"/>
    <mergeCell ref="B54:B57"/>
    <mergeCell ref="C54:C57"/>
    <mergeCell ref="D54:D57"/>
    <mergeCell ref="E54:E57"/>
    <mergeCell ref="F54:F57"/>
    <mergeCell ref="D58:D61"/>
    <mergeCell ref="E58:E61"/>
    <mergeCell ref="F58:F61"/>
    <mergeCell ref="G54:G57"/>
    <mergeCell ref="G58:G61"/>
    <mergeCell ref="B58:B61"/>
    <mergeCell ref="C58:C61"/>
    <mergeCell ref="B38:B41"/>
    <mergeCell ref="C38:C41"/>
    <mergeCell ref="D38:D41"/>
    <mergeCell ref="E38:E41"/>
    <mergeCell ref="F38:F41"/>
    <mergeCell ref="G38:G41"/>
    <mergeCell ref="H50:H53"/>
    <mergeCell ref="I50:I53"/>
    <mergeCell ref="B50:B53"/>
    <mergeCell ref="F42:F45"/>
    <mergeCell ref="G42:G45"/>
    <mergeCell ref="H42:H45"/>
    <mergeCell ref="I42:I45"/>
    <mergeCell ref="C50:C53"/>
    <mergeCell ref="D50:D53"/>
    <mergeCell ref="E50:E53"/>
    <mergeCell ref="F50:F53"/>
    <mergeCell ref="G50:G53"/>
    <mergeCell ref="H38:H41"/>
    <mergeCell ref="I38:I41"/>
    <mergeCell ref="H46:H49"/>
    <mergeCell ref="I46:I49"/>
    <mergeCell ref="B46:B49"/>
    <mergeCell ref="C46:C49"/>
    <mergeCell ref="F34:F37"/>
    <mergeCell ref="G34:G37"/>
    <mergeCell ref="H34:H37"/>
    <mergeCell ref="S34:U34"/>
    <mergeCell ref="S35:U35"/>
    <mergeCell ref="S36:U36"/>
    <mergeCell ref="K34:M34"/>
    <mergeCell ref="K36:M36"/>
    <mergeCell ref="R34:R37"/>
    <mergeCell ref="O34:Q34"/>
    <mergeCell ref="O35:Q35"/>
    <mergeCell ref="O36:Q36"/>
    <mergeCell ref="I34:I37"/>
    <mergeCell ref="J34:J37"/>
    <mergeCell ref="N34:N37"/>
    <mergeCell ref="K35:M35"/>
    <mergeCell ref="AA32:AC32"/>
    <mergeCell ref="W30:Y30"/>
    <mergeCell ref="Z30:Z33"/>
    <mergeCell ref="AA30:AC30"/>
    <mergeCell ref="S30:U30"/>
    <mergeCell ref="S32:U32"/>
    <mergeCell ref="O32:Q32"/>
    <mergeCell ref="AA31:AC31"/>
    <mergeCell ref="W31:Y31"/>
    <mergeCell ref="R30:R33"/>
    <mergeCell ref="S31:U31"/>
    <mergeCell ref="J14:J17"/>
    <mergeCell ref="K14:M14"/>
    <mergeCell ref="N14:N17"/>
    <mergeCell ref="O14:Q14"/>
    <mergeCell ref="R14:R17"/>
    <mergeCell ref="S14:U14"/>
    <mergeCell ref="R18:R21"/>
    <mergeCell ref="S18:U18"/>
    <mergeCell ref="O18:Q18"/>
    <mergeCell ref="S19:U19"/>
    <mergeCell ref="K15:M15"/>
    <mergeCell ref="O15:Q15"/>
    <mergeCell ref="S15:U15"/>
    <mergeCell ref="K16:M16"/>
    <mergeCell ref="O16:Q16"/>
    <mergeCell ref="S16:U16"/>
    <mergeCell ref="O19:Q19"/>
    <mergeCell ref="K24:M24"/>
    <mergeCell ref="K19:M19"/>
    <mergeCell ref="K23:M23"/>
    <mergeCell ref="J26:J29"/>
    <mergeCell ref="O27:Q27"/>
    <mergeCell ref="O26:Q26"/>
    <mergeCell ref="S26:U26"/>
    <mergeCell ref="W23:Y23"/>
    <mergeCell ref="J18:J21"/>
    <mergeCell ref="N18:N21"/>
    <mergeCell ref="R22:R25"/>
    <mergeCell ref="J22:J25"/>
    <mergeCell ref="N22:N25"/>
    <mergeCell ref="K28:M28"/>
    <mergeCell ref="K27:M27"/>
    <mergeCell ref="K26:M26"/>
    <mergeCell ref="O28:Q28"/>
    <mergeCell ref="W28:Y28"/>
    <mergeCell ref="W19:Y19"/>
    <mergeCell ref="O24:Q24"/>
    <mergeCell ref="O22:Q22"/>
    <mergeCell ref="R26:R29"/>
    <mergeCell ref="W26:Y26"/>
    <mergeCell ref="W15:Y15"/>
    <mergeCell ref="W16:Y16"/>
    <mergeCell ref="V14:V17"/>
    <mergeCell ref="W6:Y6"/>
    <mergeCell ref="W20:Y20"/>
    <mergeCell ref="S20:U20"/>
    <mergeCell ref="S22:U22"/>
    <mergeCell ref="S23:U23"/>
    <mergeCell ref="S7:U7"/>
    <mergeCell ref="S8:U8"/>
    <mergeCell ref="S11:U11"/>
    <mergeCell ref="W11:Y11"/>
    <mergeCell ref="S10:U10"/>
    <mergeCell ref="V22:V25"/>
    <mergeCell ref="W22:Y22"/>
    <mergeCell ref="S24:U24"/>
    <mergeCell ref="W14:Y14"/>
    <mergeCell ref="C22:C25"/>
    <mergeCell ref="E10:E13"/>
    <mergeCell ref="F10:F13"/>
    <mergeCell ref="G6:G9"/>
    <mergeCell ref="H6:H9"/>
    <mergeCell ref="I6:I9"/>
    <mergeCell ref="G10:G13"/>
    <mergeCell ref="H10:H13"/>
    <mergeCell ref="I10:I13"/>
    <mergeCell ref="E6:E9"/>
    <mergeCell ref="F6:F9"/>
    <mergeCell ref="D10:D13"/>
    <mergeCell ref="D22:D25"/>
    <mergeCell ref="E22:E25"/>
    <mergeCell ref="F22:F25"/>
    <mergeCell ref="F14:F17"/>
    <mergeCell ref="AM18:AM21"/>
    <mergeCell ref="V10:V13"/>
    <mergeCell ref="W10:Y10"/>
    <mergeCell ref="S12:U12"/>
    <mergeCell ref="W12:Y12"/>
    <mergeCell ref="G22:G25"/>
    <mergeCell ref="H22:H25"/>
    <mergeCell ref="I22:I25"/>
    <mergeCell ref="B18:B21"/>
    <mergeCell ref="G18:G21"/>
    <mergeCell ref="H18:H21"/>
    <mergeCell ref="I18:I21"/>
    <mergeCell ref="B14:B17"/>
    <mergeCell ref="C14:C17"/>
    <mergeCell ref="D14:D17"/>
    <mergeCell ref="E14:E17"/>
    <mergeCell ref="C18:C21"/>
    <mergeCell ref="D18:D21"/>
    <mergeCell ref="E18:E21"/>
    <mergeCell ref="F18:F21"/>
    <mergeCell ref="G14:G17"/>
    <mergeCell ref="H14:H17"/>
    <mergeCell ref="I14:I17"/>
    <mergeCell ref="B22:B25"/>
    <mergeCell ref="D3:D5"/>
    <mergeCell ref="E3:E5"/>
    <mergeCell ref="F3:F5"/>
    <mergeCell ref="G3:G5"/>
    <mergeCell ref="H3:H5"/>
    <mergeCell ref="I3:I5"/>
    <mergeCell ref="J3:M4"/>
    <mergeCell ref="N3:Q4"/>
    <mergeCell ref="R3:U4"/>
    <mergeCell ref="K7:M7"/>
    <mergeCell ref="N10:N13"/>
    <mergeCell ref="S6:U6"/>
    <mergeCell ref="W7:Y7"/>
    <mergeCell ref="W8:Y8"/>
    <mergeCell ref="V6:V9"/>
    <mergeCell ref="J2:AD2"/>
    <mergeCell ref="AK3:AK5"/>
    <mergeCell ref="AE2:AM2"/>
    <mergeCell ref="AE3:AH4"/>
    <mergeCell ref="AI3:AI5"/>
    <mergeCell ref="AJ3:AJ5"/>
    <mergeCell ref="AL3:AL5"/>
    <mergeCell ref="AM3:AM5"/>
    <mergeCell ref="V3:Y4"/>
    <mergeCell ref="Z3:AC4"/>
    <mergeCell ref="A2:A5"/>
    <mergeCell ref="B2:B5"/>
    <mergeCell ref="C2:C5"/>
    <mergeCell ref="D2:F2"/>
    <mergeCell ref="G2:I2"/>
    <mergeCell ref="O10:Q10"/>
    <mergeCell ref="R10:R13"/>
    <mergeCell ref="K11:M11"/>
    <mergeCell ref="K12:M12"/>
    <mergeCell ref="N6:N9"/>
    <mergeCell ref="O7:Q7"/>
    <mergeCell ref="O6:Q6"/>
    <mergeCell ref="O8:Q8"/>
    <mergeCell ref="K6:M6"/>
    <mergeCell ref="K8:M8"/>
    <mergeCell ref="K10:M10"/>
    <mergeCell ref="B6:B9"/>
    <mergeCell ref="C6:C9"/>
    <mergeCell ref="B10:B13"/>
    <mergeCell ref="C10:C13"/>
    <mergeCell ref="D6:D9"/>
    <mergeCell ref="R6:R9"/>
    <mergeCell ref="J10:J13"/>
    <mergeCell ref="J6:J9"/>
    <mergeCell ref="AM102:AM105"/>
    <mergeCell ref="AM98:AM101"/>
    <mergeCell ref="AM90:AM93"/>
    <mergeCell ref="AM86:AM89"/>
    <mergeCell ref="AM82:AM85"/>
    <mergeCell ref="AM78:AM81"/>
    <mergeCell ref="AM70:AM73"/>
    <mergeCell ref="AM66:AM69"/>
    <mergeCell ref="AM94:AM97"/>
    <mergeCell ref="AM74:AM77"/>
    <mergeCell ref="AM54:AM57"/>
    <mergeCell ref="AM30:AM33"/>
    <mergeCell ref="AM26:AM29"/>
    <mergeCell ref="AM22:AM25"/>
    <mergeCell ref="AA74:AC74"/>
    <mergeCell ref="Z94:Z97"/>
    <mergeCell ref="AA24:AC24"/>
    <mergeCell ref="AA27:AC27"/>
    <mergeCell ref="AA78:AC78"/>
    <mergeCell ref="AA79:AC79"/>
    <mergeCell ref="AA82:AC82"/>
    <mergeCell ref="Z74:Z77"/>
    <mergeCell ref="AA75:AC75"/>
    <mergeCell ref="AA62:AC62"/>
    <mergeCell ref="AA63:AC63"/>
    <mergeCell ref="AA64:AC64"/>
    <mergeCell ref="AA70:AC70"/>
    <mergeCell ref="AA71:AC71"/>
    <mergeCell ref="AA72:AC72"/>
    <mergeCell ref="AA76:AC76"/>
    <mergeCell ref="AA87:AC87"/>
    <mergeCell ref="AM42:AM45"/>
    <mergeCell ref="AM62:AM65"/>
    <mergeCell ref="AM58:AM61"/>
    <mergeCell ref="Z34:Z37"/>
    <mergeCell ref="W51:Y51"/>
    <mergeCell ref="V34:V37"/>
    <mergeCell ref="AA38:AC38"/>
    <mergeCell ref="AA39:AC39"/>
    <mergeCell ref="AA40:AC40"/>
    <mergeCell ref="AA42:AC42"/>
    <mergeCell ref="AA43:AC43"/>
    <mergeCell ref="AA44:AC44"/>
    <mergeCell ref="Z42:Z45"/>
    <mergeCell ref="AA50:AC50"/>
    <mergeCell ref="AM34:AM37"/>
    <mergeCell ref="AM10:AM13"/>
    <mergeCell ref="AM6:AM9"/>
    <mergeCell ref="AM38:AM41"/>
    <mergeCell ref="AM46:AM49"/>
    <mergeCell ref="AA59:AC59"/>
    <mergeCell ref="Z14:Z17"/>
    <mergeCell ref="AA14:AC14"/>
    <mergeCell ref="AM14:AM17"/>
    <mergeCell ref="AA15:AC15"/>
    <mergeCell ref="AA16:AC16"/>
    <mergeCell ref="AA19:AC19"/>
    <mergeCell ref="Z26:Z29"/>
    <mergeCell ref="AA23:AC23"/>
    <mergeCell ref="Z22:Z25"/>
    <mergeCell ref="AA22:AC22"/>
    <mergeCell ref="AA12:AC12"/>
    <mergeCell ref="Z58:Z61"/>
    <mergeCell ref="AM50:AM53"/>
    <mergeCell ref="AA34:AC34"/>
    <mergeCell ref="AA36:AC36"/>
    <mergeCell ref="AA35:AC35"/>
    <mergeCell ref="AA51:AC51"/>
    <mergeCell ref="AA52:AC52"/>
    <mergeCell ref="A1:AM1"/>
    <mergeCell ref="O11:Q11"/>
    <mergeCell ref="S28:U28"/>
    <mergeCell ref="K22:M22"/>
    <mergeCell ref="AA5:AC5"/>
    <mergeCell ref="Z10:Z13"/>
    <mergeCell ref="O12:Q12"/>
    <mergeCell ref="O20:Q20"/>
    <mergeCell ref="K5:M5"/>
    <mergeCell ref="O5:Q5"/>
    <mergeCell ref="S5:U5"/>
    <mergeCell ref="W5:Y5"/>
    <mergeCell ref="K18:M18"/>
    <mergeCell ref="K20:M20"/>
    <mergeCell ref="O23:Q23"/>
    <mergeCell ref="N26:N29"/>
    <mergeCell ref="A22:A41"/>
    <mergeCell ref="H26:H29"/>
    <mergeCell ref="I26:I29"/>
    <mergeCell ref="I30:I33"/>
    <mergeCell ref="Z6:Z9"/>
    <mergeCell ref="AA6:AC6"/>
    <mergeCell ref="AA7:AC7"/>
    <mergeCell ref="AA8:AC8"/>
    <mergeCell ref="D46:D49"/>
    <mergeCell ref="E46:E49"/>
    <mergeCell ref="F46:F49"/>
    <mergeCell ref="G46:G49"/>
    <mergeCell ref="B26:B29"/>
    <mergeCell ref="C26:C29"/>
    <mergeCell ref="D26:D29"/>
    <mergeCell ref="E26:E29"/>
    <mergeCell ref="F26:F29"/>
    <mergeCell ref="G26:G29"/>
    <mergeCell ref="B30:B33"/>
    <mergeCell ref="C30:C33"/>
    <mergeCell ref="B42:B45"/>
    <mergeCell ref="C42:C45"/>
    <mergeCell ref="D42:D45"/>
    <mergeCell ref="E42:E45"/>
    <mergeCell ref="D30:D33"/>
    <mergeCell ref="E30:E33"/>
    <mergeCell ref="F30:F33"/>
    <mergeCell ref="G30:G33"/>
    <mergeCell ref="B34:B37"/>
    <mergeCell ref="C34:C37"/>
    <mergeCell ref="D34:D37"/>
    <mergeCell ref="E34:E37"/>
    <mergeCell ref="H94:H97"/>
    <mergeCell ref="I94:I97"/>
    <mergeCell ref="J94:J97"/>
    <mergeCell ref="N94:N97"/>
    <mergeCell ref="V94:V97"/>
    <mergeCell ref="W94:Y94"/>
    <mergeCell ref="W95:Y95"/>
    <mergeCell ref="W96:Y96"/>
    <mergeCell ref="R94:R97"/>
    <mergeCell ref="K94:M94"/>
    <mergeCell ref="K96:M96"/>
    <mergeCell ref="O96:Q96"/>
    <mergeCell ref="O95:Q95"/>
    <mergeCell ref="K95:M95"/>
    <mergeCell ref="S94:U96"/>
    <mergeCell ref="Z54:Z57"/>
    <mergeCell ref="W54:Y54"/>
    <mergeCell ref="W55:Y55"/>
    <mergeCell ref="W56:Y56"/>
    <mergeCell ref="AA48:AC48"/>
    <mergeCell ref="Z46:Z49"/>
    <mergeCell ref="AA46:AC46"/>
    <mergeCell ref="AA47:AC47"/>
    <mergeCell ref="Z50:Z53"/>
    <mergeCell ref="AA20:AC20"/>
    <mergeCell ref="V18:V21"/>
    <mergeCell ref="W18:Y18"/>
    <mergeCell ref="Z18:Z21"/>
    <mergeCell ref="AA26:AC26"/>
    <mergeCell ref="AA28:AC28"/>
    <mergeCell ref="AA90:AC90"/>
    <mergeCell ref="AA92:AC92"/>
    <mergeCell ref="W48:Y48"/>
    <mergeCell ref="V46:V49"/>
    <mergeCell ref="W46:Y46"/>
    <mergeCell ref="W47:Y47"/>
    <mergeCell ref="AA58:AC58"/>
    <mergeCell ref="W43:Y43"/>
    <mergeCell ref="V50:V53"/>
    <mergeCell ref="AA18:AC18"/>
    <mergeCell ref="Z38:Z41"/>
    <mergeCell ref="W38:Y38"/>
    <mergeCell ref="W39:Y39"/>
    <mergeCell ref="W40:Y40"/>
    <mergeCell ref="V66:V69"/>
    <mergeCell ref="AA55:AC55"/>
    <mergeCell ref="AA56:AC56"/>
    <mergeCell ref="AA54:AC54"/>
    <mergeCell ref="V78:V81"/>
    <mergeCell ref="S79:U79"/>
    <mergeCell ref="S78:U78"/>
    <mergeCell ref="Z70:Z73"/>
    <mergeCell ref="S88:U88"/>
    <mergeCell ref="W66:Y66"/>
    <mergeCell ref="W67:Y67"/>
    <mergeCell ref="W68:Y68"/>
    <mergeCell ref="AA103:AC103"/>
    <mergeCell ref="W102:Y102"/>
    <mergeCell ref="AA86:AC86"/>
    <mergeCell ref="Z82:Z85"/>
    <mergeCell ref="V70:V73"/>
    <mergeCell ref="W71:Y71"/>
    <mergeCell ref="W70:Y70"/>
    <mergeCell ref="W72:Y72"/>
    <mergeCell ref="S75:U75"/>
    <mergeCell ref="S47:U47"/>
    <mergeCell ref="S54:U54"/>
    <mergeCell ref="S55:U55"/>
    <mergeCell ref="S56:U56"/>
    <mergeCell ref="S48:U48"/>
    <mergeCell ref="O43:Q43"/>
    <mergeCell ref="O44:Q44"/>
    <mergeCell ref="R54:R57"/>
    <mergeCell ref="AA91:AC91"/>
    <mergeCell ref="S90:U90"/>
    <mergeCell ref="S91:U91"/>
    <mergeCell ref="AA88:AC88"/>
    <mergeCell ref="W86:Y86"/>
    <mergeCell ref="AA60:AC60"/>
    <mergeCell ref="V86:V89"/>
    <mergeCell ref="Z86:Z89"/>
    <mergeCell ref="Z78:Z81"/>
    <mergeCell ref="Z62:Z65"/>
    <mergeCell ref="W88:Y88"/>
    <mergeCell ref="V74:V77"/>
    <mergeCell ref="AA84:AC84"/>
    <mergeCell ref="AA80:AC80"/>
    <mergeCell ref="AA83:AC83"/>
    <mergeCell ref="W80:Y80"/>
    <mergeCell ref="S42:U42"/>
    <mergeCell ref="S44:U44"/>
    <mergeCell ref="V42:V45"/>
    <mergeCell ref="W42:Y42"/>
    <mergeCell ref="W44:Y44"/>
    <mergeCell ref="V113:Y113"/>
    <mergeCell ref="O63:Q63"/>
    <mergeCell ref="O64:Q64"/>
    <mergeCell ref="O76:Q76"/>
    <mergeCell ref="O71:Q71"/>
    <mergeCell ref="R78:R81"/>
    <mergeCell ref="W63:Y63"/>
    <mergeCell ref="W62:Y62"/>
    <mergeCell ref="V54:V57"/>
    <mergeCell ref="O80:Q80"/>
    <mergeCell ref="O78:Q78"/>
    <mergeCell ref="O79:Q79"/>
    <mergeCell ref="V102:V105"/>
    <mergeCell ref="R107:U107"/>
    <mergeCell ref="S103:U103"/>
    <mergeCell ref="V106:Y106"/>
    <mergeCell ref="O54:Q54"/>
    <mergeCell ref="R46:R49"/>
    <mergeCell ref="S46:U46"/>
    <mergeCell ref="V114:Y114"/>
    <mergeCell ref="V115:Y115"/>
    <mergeCell ref="Z113:AC113"/>
    <mergeCell ref="Z114:AC114"/>
    <mergeCell ref="Z115:AC115"/>
    <mergeCell ref="A113:C115"/>
    <mergeCell ref="J113:M113"/>
    <mergeCell ref="J114:M114"/>
    <mergeCell ref="J115:M115"/>
    <mergeCell ref="N113:Q113"/>
    <mergeCell ref="N114:Q114"/>
    <mergeCell ref="N115:Q115"/>
    <mergeCell ref="R113:U113"/>
    <mergeCell ref="R114:U114"/>
    <mergeCell ref="R115:U115"/>
  </mergeCells>
  <phoneticPr fontId="41" type="noConversion"/>
  <printOptions horizontalCentered="1" verticalCentered="1"/>
  <pageMargins left="0.19685039370078741" right="0.19685039370078741" top="0.19685039370078741" bottom="3.937007874015748E-2" header="0" footer="0"/>
  <pageSetup paperSize="12" scale="52" orientation="portrait" r:id="rId1"/>
  <colBreaks count="1" manualBreakCount="1">
    <brk id="39" max="1638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5"/>
  <sheetViews>
    <sheetView zoomScaleNormal="100" zoomScaleSheetLayoutView="75" workbookViewId="0">
      <selection sqref="A1:A4"/>
    </sheetView>
  </sheetViews>
  <sheetFormatPr defaultColWidth="8.796875" defaultRowHeight="14.4" x14ac:dyDescent="0.25"/>
  <cols>
    <col min="1" max="1" width="7.3984375" style="4" customWidth="1"/>
  </cols>
  <sheetData>
    <row r="1" spans="1:2" x14ac:dyDescent="0.25">
      <c r="A1" s="150"/>
      <c r="B1" s="150"/>
    </row>
    <row r="2" spans="1:2" x14ac:dyDescent="0.25">
      <c r="A2" s="150"/>
      <c r="B2" s="150"/>
    </row>
    <row r="3" spans="1:2" x14ac:dyDescent="0.25">
      <c r="A3" s="150"/>
      <c r="B3" s="150"/>
    </row>
    <row r="4" spans="1:2" x14ac:dyDescent="0.25">
      <c r="A4" s="150"/>
      <c r="B4" s="150"/>
    </row>
    <row r="5" spans="1:2" x14ac:dyDescent="0.25">
      <c r="A5" s="150"/>
      <c r="B5" s="150"/>
    </row>
    <row r="6" spans="1:2" x14ac:dyDescent="0.25">
      <c r="A6" s="150"/>
      <c r="B6" s="150"/>
    </row>
    <row r="7" spans="1:2" x14ac:dyDescent="0.25">
      <c r="A7" s="150"/>
      <c r="B7" s="150"/>
    </row>
    <row r="8" spans="1:2" x14ac:dyDescent="0.25">
      <c r="A8" s="150"/>
      <c r="B8" s="150"/>
    </row>
    <row r="9" spans="1:2" x14ac:dyDescent="0.25">
      <c r="A9" s="150"/>
      <c r="B9" s="150"/>
    </row>
    <row r="10" spans="1:2" x14ac:dyDescent="0.25">
      <c r="A10" s="150"/>
      <c r="B10" s="150"/>
    </row>
    <row r="11" spans="1:2" x14ac:dyDescent="0.25">
      <c r="A11" s="150"/>
      <c r="B11" s="150"/>
    </row>
    <row r="12" spans="1:2" x14ac:dyDescent="0.25">
      <c r="A12" s="150"/>
      <c r="B12" s="150"/>
    </row>
    <row r="13" spans="1:2" x14ac:dyDescent="0.25">
      <c r="A13" s="150"/>
      <c r="B13" s="150"/>
    </row>
    <row r="14" spans="1:2" x14ac:dyDescent="0.25">
      <c r="A14" s="150"/>
      <c r="B14" s="150"/>
    </row>
    <row r="15" spans="1:2" x14ac:dyDescent="0.25">
      <c r="A15" s="150"/>
      <c r="B15" s="150"/>
    </row>
    <row r="16" spans="1:2" x14ac:dyDescent="0.25">
      <c r="A16" s="150"/>
      <c r="B16" s="150"/>
    </row>
    <row r="17" spans="1:2" x14ac:dyDescent="0.25">
      <c r="A17" s="150"/>
      <c r="B17" s="150"/>
    </row>
    <row r="18" spans="1:2" x14ac:dyDescent="0.25">
      <c r="A18" s="150"/>
      <c r="B18" s="150"/>
    </row>
    <row r="19" spans="1:2" x14ac:dyDescent="0.25">
      <c r="A19" s="150"/>
      <c r="B19" s="150"/>
    </row>
    <row r="20" spans="1:2" x14ac:dyDescent="0.25">
      <c r="A20" s="150"/>
      <c r="B20" s="150"/>
    </row>
    <row r="21" spans="1:2" x14ac:dyDescent="0.25">
      <c r="A21" s="150"/>
      <c r="B21" s="150"/>
    </row>
    <row r="22" spans="1:2" x14ac:dyDescent="0.25">
      <c r="A22" s="150"/>
      <c r="B22" s="150"/>
    </row>
    <row r="23" spans="1:2" x14ac:dyDescent="0.25">
      <c r="A23" s="150"/>
      <c r="B23" s="150"/>
    </row>
    <row r="24" spans="1:2" x14ac:dyDescent="0.25">
      <c r="A24" s="150"/>
      <c r="B24" s="150"/>
    </row>
    <row r="25" spans="1:2" x14ac:dyDescent="0.25">
      <c r="A25" s="150"/>
      <c r="B25" s="150"/>
    </row>
    <row r="26" spans="1:2" x14ac:dyDescent="0.25">
      <c r="A26" s="150"/>
      <c r="B26" s="150"/>
    </row>
    <row r="27" spans="1:2" x14ac:dyDescent="0.25">
      <c r="A27" s="150"/>
      <c r="B27" s="150"/>
    </row>
    <row r="28" spans="1:2" x14ac:dyDescent="0.25">
      <c r="A28" s="150"/>
      <c r="B28" s="150"/>
    </row>
    <row r="29" spans="1:2" x14ac:dyDescent="0.25">
      <c r="A29" s="150"/>
      <c r="B29" s="150"/>
    </row>
    <row r="30" spans="1:2" x14ac:dyDescent="0.25">
      <c r="A30" s="150"/>
      <c r="B30" s="150"/>
    </row>
    <row r="31" spans="1:2" x14ac:dyDescent="0.25">
      <c r="A31" s="150"/>
      <c r="B31" s="150"/>
    </row>
    <row r="32" spans="1:2" x14ac:dyDescent="0.25">
      <c r="A32" s="150"/>
      <c r="B32" s="150"/>
    </row>
    <row r="33" spans="1:2" x14ac:dyDescent="0.25">
      <c r="A33" s="150"/>
      <c r="B33" s="150"/>
    </row>
    <row r="34" spans="1:2" x14ac:dyDescent="0.25">
      <c r="A34" s="150"/>
      <c r="B34" s="150"/>
    </row>
    <row r="35" spans="1:2" x14ac:dyDescent="0.25">
      <c r="A35" s="150"/>
      <c r="B35" s="150"/>
    </row>
    <row r="36" spans="1:2" x14ac:dyDescent="0.25">
      <c r="A36" s="150"/>
      <c r="B36" s="150"/>
    </row>
    <row r="37" spans="1:2" x14ac:dyDescent="0.25">
      <c r="A37" s="150"/>
      <c r="B37" s="150"/>
    </row>
    <row r="38" spans="1:2" x14ac:dyDescent="0.25">
      <c r="A38" s="150"/>
      <c r="B38" s="150"/>
    </row>
    <row r="39" spans="1:2" x14ac:dyDescent="0.25">
      <c r="A39" s="149"/>
      <c r="B39" s="149"/>
    </row>
    <row r="40" spans="1:2" x14ac:dyDescent="0.25">
      <c r="A40" s="149"/>
      <c r="B40" s="149"/>
    </row>
    <row r="41" spans="1:2" x14ac:dyDescent="0.25">
      <c r="A41" s="149"/>
      <c r="B41" s="149"/>
    </row>
    <row r="42" spans="1:2" x14ac:dyDescent="0.25">
      <c r="A42" s="149"/>
      <c r="B42" s="149"/>
    </row>
    <row r="43" spans="1:2" x14ac:dyDescent="0.25">
      <c r="A43" s="149"/>
      <c r="B43" s="149"/>
    </row>
    <row r="44" spans="1:2" x14ac:dyDescent="0.25">
      <c r="A44" s="149"/>
      <c r="B44" s="149"/>
    </row>
    <row r="45" spans="1:2" x14ac:dyDescent="0.25">
      <c r="A45" s="149"/>
      <c r="B45" s="149"/>
    </row>
    <row r="46" spans="1:2" x14ac:dyDescent="0.25">
      <c r="A46" s="149"/>
      <c r="B46" s="149"/>
    </row>
    <row r="47" spans="1:2" x14ac:dyDescent="0.25">
      <c r="A47" s="149"/>
      <c r="B47" s="149"/>
    </row>
    <row r="48" spans="1:2" x14ac:dyDescent="0.25">
      <c r="A48" s="149"/>
      <c r="B48" s="149"/>
    </row>
    <row r="49" spans="1:2" x14ac:dyDescent="0.25">
      <c r="A49" s="149"/>
      <c r="B49" s="149"/>
    </row>
    <row r="50" spans="1:2" x14ac:dyDescent="0.25">
      <c r="A50" s="149"/>
      <c r="B50" s="149"/>
    </row>
    <row r="51" spans="1:2" x14ac:dyDescent="0.25">
      <c r="A51" s="149"/>
      <c r="B51" s="149"/>
    </row>
    <row r="52" spans="1:2" x14ac:dyDescent="0.25">
      <c r="A52" s="149"/>
      <c r="B52" s="149"/>
    </row>
    <row r="53" spans="1:2" x14ac:dyDescent="0.25">
      <c r="A53" s="149"/>
      <c r="B53" s="149"/>
    </row>
    <row r="54" spans="1:2" x14ac:dyDescent="0.25">
      <c r="A54" s="149"/>
      <c r="B54" s="149"/>
    </row>
    <row r="55" spans="1:2" x14ac:dyDescent="0.25">
      <c r="A55" s="149"/>
      <c r="B55" s="149"/>
    </row>
  </sheetData>
  <phoneticPr fontId="41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zoomScaleNormal="100" zoomScaleSheetLayoutView="75" workbookViewId="0"/>
  </sheetViews>
  <sheetFormatPr defaultColWidth="8.796875" defaultRowHeight="14.4" x14ac:dyDescent="0.25"/>
  <sheetData/>
  <phoneticPr fontId="41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8125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1학기</vt:lpstr>
      <vt:lpstr>2학기</vt:lpstr>
      <vt:lpstr>Sheet1</vt:lpstr>
      <vt:lpstr>Sheet2</vt:lpstr>
      <vt:lpstr>'1학기'!Print_Area</vt:lpstr>
      <vt:lpstr>'2학기'!Print_Area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교직원</dc:creator>
  <cp:lastModifiedBy>user</cp:lastModifiedBy>
  <cp:revision>703</cp:revision>
  <cp:lastPrinted>2026-02-11T23:52:21Z</cp:lastPrinted>
  <dcterms:created xsi:type="dcterms:W3CDTF">2011-11-19T09:02:49Z</dcterms:created>
  <dcterms:modified xsi:type="dcterms:W3CDTF">2026-04-23T07:56:41Z</dcterms:modified>
  <cp:version>1000.0100.01</cp:version>
</cp:coreProperties>
</file>